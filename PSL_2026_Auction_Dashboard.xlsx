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drawings/drawing2.xml" ContentType="application/vnd.openxmlformats-officedocument.drawing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/>
  <mc:AlternateContent xmlns:mc="http://schemas.openxmlformats.org/markup-compatibility/2006">
    <mc:Choice Requires="x15">
      <x15ac:absPath xmlns:x15ac="http://schemas.microsoft.com/office/spreadsheetml/2010/11/ac" url="D:\Users\DELL\Downloads\"/>
    </mc:Choice>
  </mc:AlternateContent>
  <xr:revisionPtr revIDLastSave="0" documentId="13_ncr:1_{DF341239-D81D-4AA8-94E0-73D53D7BA98A}" xr6:coauthVersionLast="47" xr6:coauthVersionMax="47" xr10:uidLastSave="{00000000-0000-0000-0000-000000000000}"/>
  <bookViews>
    <workbookView xWindow="-110" yWindow="-110" windowWidth="19420" windowHeight="10300" tabRatio="500" xr2:uid="{00000000-000D-0000-FFFF-FFFF00000000}"/>
  </bookViews>
  <sheets>
    <sheet name="Auction Data" sheetId="1" r:id="rId1"/>
    <sheet name="Retained &amp; Direct" sheetId="2" r:id="rId2"/>
    <sheet name="Team Budgets" sheetId="3" r:id="rId3"/>
    <sheet name="Analytics" sheetId="4" r:id="rId4"/>
  </sheets>
  <calcPr calcId="191029" iterateDelta="1E-4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loext="http://schemas.libreoffice.org/" uri="{7626C862-2A13-11E5-B345-FEFF819CDC9F}">
      <loext:extCalcPr stringRefSyntax="ExcelA1"/>
    </ext>
  </extLst>
</workbook>
</file>

<file path=xl/calcChain.xml><?xml version="1.0" encoding="utf-8"?>
<calcChain xmlns="http://schemas.openxmlformats.org/spreadsheetml/2006/main">
  <c r="F44" i="4" l="1"/>
  <c r="E44" i="4"/>
  <c r="F43" i="4"/>
  <c r="E43" i="4"/>
  <c r="F42" i="4"/>
  <c r="E42" i="4"/>
  <c r="F41" i="4"/>
  <c r="E41" i="4"/>
  <c r="F40" i="4"/>
  <c r="E40" i="4"/>
  <c r="F39" i="4"/>
  <c r="E39" i="4"/>
  <c r="F38" i="4"/>
  <c r="E38" i="4"/>
  <c r="F37" i="4"/>
  <c r="E37" i="4"/>
  <c r="F36" i="4"/>
  <c r="E36" i="4"/>
  <c r="F35" i="4"/>
  <c r="E35" i="4"/>
  <c r="F34" i="4"/>
  <c r="E34" i="4"/>
  <c r="F33" i="4"/>
  <c r="E33" i="4"/>
  <c r="H11" i="3"/>
  <c r="E11" i="3"/>
  <c r="D11" i="3"/>
  <c r="C11" i="3"/>
  <c r="B11" i="3"/>
  <c r="G10" i="3"/>
  <c r="F10" i="3"/>
  <c r="F9" i="3"/>
  <c r="G9" i="3" s="1"/>
  <c r="F8" i="3"/>
  <c r="G8" i="3" s="1"/>
  <c r="F7" i="3"/>
  <c r="G7" i="3" s="1"/>
  <c r="G6" i="3"/>
  <c r="F6" i="3"/>
  <c r="F5" i="3"/>
  <c r="G5" i="3" s="1"/>
  <c r="F4" i="3"/>
  <c r="G4" i="3" s="1"/>
  <c r="F3" i="3"/>
  <c r="G3" i="3" s="1"/>
  <c r="H106" i="1"/>
  <c r="G106" i="1"/>
  <c r="H105" i="1"/>
  <c r="G105" i="1"/>
  <c r="H104" i="1"/>
  <c r="G104" i="1"/>
  <c r="H103" i="1"/>
  <c r="G103" i="1"/>
  <c r="H102" i="1"/>
  <c r="G102" i="1"/>
  <c r="H101" i="1"/>
  <c r="G101" i="1"/>
  <c r="H100" i="1"/>
  <c r="G100" i="1"/>
  <c r="H99" i="1"/>
  <c r="G99" i="1"/>
  <c r="H98" i="1"/>
  <c r="G98" i="1"/>
  <c r="H97" i="1"/>
  <c r="G97" i="1"/>
  <c r="H96" i="1"/>
  <c r="G96" i="1"/>
  <c r="H95" i="1"/>
  <c r="G95" i="1"/>
  <c r="H94" i="1"/>
  <c r="G94" i="1"/>
  <c r="H93" i="1"/>
  <c r="G93" i="1"/>
  <c r="H92" i="1"/>
  <c r="G92" i="1"/>
  <c r="H91" i="1"/>
  <c r="G91" i="1"/>
  <c r="H90" i="1"/>
  <c r="G90" i="1"/>
  <c r="H89" i="1"/>
  <c r="G89" i="1"/>
  <c r="H88" i="1"/>
  <c r="G88" i="1"/>
  <c r="H87" i="1"/>
  <c r="G87" i="1"/>
  <c r="H86" i="1"/>
  <c r="G86" i="1"/>
  <c r="H85" i="1"/>
  <c r="G85" i="1"/>
  <c r="H84" i="1"/>
  <c r="G84" i="1"/>
  <c r="H83" i="1"/>
  <c r="G83" i="1"/>
  <c r="H82" i="1"/>
  <c r="G82" i="1"/>
  <c r="H81" i="1"/>
  <c r="G81" i="1"/>
  <c r="H80" i="1"/>
  <c r="G80" i="1"/>
  <c r="H79" i="1"/>
  <c r="G79" i="1"/>
  <c r="H78" i="1"/>
  <c r="G78" i="1"/>
  <c r="H77" i="1"/>
  <c r="G77" i="1"/>
  <c r="H76" i="1"/>
  <c r="G76" i="1"/>
  <c r="H75" i="1"/>
  <c r="G75" i="1"/>
  <c r="H74" i="1"/>
  <c r="G74" i="1"/>
  <c r="H73" i="1"/>
  <c r="G73" i="1"/>
  <c r="H72" i="1"/>
  <c r="G72" i="1"/>
  <c r="H71" i="1"/>
  <c r="G71" i="1"/>
  <c r="H70" i="1"/>
  <c r="G70" i="1"/>
  <c r="H69" i="1"/>
  <c r="G69" i="1"/>
  <c r="H68" i="1"/>
  <c r="G68" i="1"/>
  <c r="H67" i="1"/>
  <c r="G67" i="1"/>
  <c r="H66" i="1"/>
  <c r="G66" i="1"/>
  <c r="H65" i="1"/>
  <c r="G65" i="1"/>
  <c r="H64" i="1"/>
  <c r="G64" i="1"/>
  <c r="H63" i="1"/>
  <c r="G63" i="1"/>
  <c r="H62" i="1"/>
  <c r="G62" i="1"/>
  <c r="H61" i="1"/>
  <c r="G61" i="1"/>
  <c r="H60" i="1"/>
  <c r="G60" i="1"/>
  <c r="H59" i="1"/>
  <c r="G59" i="1"/>
  <c r="H58" i="1"/>
  <c r="G58" i="1"/>
  <c r="H57" i="1"/>
  <c r="G57" i="1"/>
  <c r="H56" i="1"/>
  <c r="G56" i="1"/>
  <c r="H55" i="1"/>
  <c r="G55" i="1"/>
  <c r="H54" i="1"/>
  <c r="G54" i="1"/>
  <c r="H53" i="1"/>
  <c r="G53" i="1"/>
  <c r="H52" i="1"/>
  <c r="G52" i="1"/>
  <c r="H51" i="1"/>
  <c r="G51" i="1"/>
  <c r="H50" i="1"/>
  <c r="G50" i="1"/>
  <c r="H49" i="1"/>
  <c r="G49" i="1"/>
  <c r="H48" i="1"/>
  <c r="G48" i="1"/>
  <c r="H47" i="1"/>
  <c r="G47" i="1"/>
  <c r="H46" i="1"/>
  <c r="G46" i="1"/>
  <c r="H45" i="1"/>
  <c r="G45" i="1"/>
  <c r="H44" i="1"/>
  <c r="G44" i="1"/>
  <c r="H43" i="1"/>
  <c r="G43" i="1"/>
  <c r="H42" i="1"/>
  <c r="G42" i="1"/>
  <c r="H41" i="1"/>
  <c r="G41" i="1"/>
  <c r="H40" i="1"/>
  <c r="G40" i="1"/>
  <c r="H39" i="1"/>
  <c r="G39" i="1"/>
  <c r="H38" i="1"/>
  <c r="G38" i="1"/>
  <c r="H37" i="1"/>
  <c r="G37" i="1"/>
  <c r="H36" i="1"/>
  <c r="G36" i="1"/>
  <c r="H35" i="1"/>
  <c r="G35" i="1"/>
  <c r="H34" i="1"/>
  <c r="G34" i="1"/>
  <c r="H33" i="1"/>
  <c r="G33" i="1"/>
  <c r="H32" i="1"/>
  <c r="G32" i="1"/>
  <c r="H31" i="1"/>
  <c r="G31" i="1"/>
  <c r="H30" i="1"/>
  <c r="G30" i="1"/>
  <c r="H29" i="1"/>
  <c r="G29" i="1"/>
  <c r="H28" i="1"/>
  <c r="G28" i="1"/>
  <c r="H27" i="1"/>
  <c r="G27" i="1"/>
  <c r="H26" i="1"/>
  <c r="G26" i="1"/>
  <c r="H25" i="1"/>
  <c r="G25" i="1"/>
  <c r="H24" i="1"/>
  <c r="G24" i="1"/>
  <c r="H23" i="1"/>
  <c r="G23" i="1"/>
  <c r="H22" i="1"/>
  <c r="G22" i="1"/>
  <c r="H21" i="1"/>
  <c r="G21" i="1"/>
  <c r="H20" i="1"/>
  <c r="G20" i="1"/>
  <c r="H19" i="1"/>
  <c r="G19" i="1"/>
  <c r="H18" i="1"/>
  <c r="G18" i="1"/>
  <c r="H17" i="1"/>
  <c r="G17" i="1"/>
  <c r="H16" i="1"/>
  <c r="G16" i="1"/>
  <c r="H15" i="1"/>
  <c r="G15" i="1"/>
  <c r="H14" i="1"/>
  <c r="G14" i="1"/>
  <c r="H13" i="1"/>
  <c r="G13" i="1"/>
  <c r="H12" i="1"/>
  <c r="G12" i="1"/>
  <c r="H11" i="1"/>
  <c r="G11" i="1"/>
  <c r="H10" i="1"/>
  <c r="G10" i="1"/>
  <c r="H9" i="1"/>
  <c r="G9" i="1"/>
  <c r="H8" i="1"/>
  <c r="G8" i="1"/>
  <c r="H7" i="1"/>
  <c r="G7" i="1"/>
  <c r="H6" i="1"/>
  <c r="G6" i="1"/>
  <c r="H5" i="1"/>
  <c r="G5" i="1"/>
  <c r="H4" i="1"/>
  <c r="G4" i="1"/>
  <c r="H3" i="1"/>
  <c r="G3" i="1"/>
  <c r="F11" i="3" l="1"/>
</calcChain>
</file>

<file path=xl/sharedStrings.xml><?xml version="1.0" encoding="utf-8"?>
<sst xmlns="http://schemas.openxmlformats.org/spreadsheetml/2006/main" count="704" uniqueCount="213">
  <si>
    <t>🏏  PSL 2026 — COMPLETE AUCTION DATA  |  Source: Wisden / CREX, February 2026</t>
  </si>
  <si>
    <t>#</t>
  </si>
  <si>
    <t>Player</t>
  </si>
  <si>
    <t>Country</t>
  </si>
  <si>
    <t>Team</t>
  </si>
  <si>
    <t>Base Price (Cr)</t>
  </si>
  <si>
    <t>Sale Price (Cr)</t>
  </si>
  <si>
    <t>Price Jump (Cr)</t>
  </si>
  <si>
    <t>Multiplier</t>
  </si>
  <si>
    <t>Type</t>
  </si>
  <si>
    <t>Faheem Ashraf</t>
  </si>
  <si>
    <t>Pakistan</t>
  </si>
  <si>
    <t>Islamabad United</t>
  </si>
  <si>
    <t>Local</t>
  </si>
  <si>
    <t>David Warner</t>
  </si>
  <si>
    <t>Australia</t>
  </si>
  <si>
    <t>Karachi Kings</t>
  </si>
  <si>
    <t>Overseas</t>
  </si>
  <si>
    <t>Rilee Rossouw</t>
  </si>
  <si>
    <t>South Africa</t>
  </si>
  <si>
    <t>Quetta Gladiators</t>
  </si>
  <si>
    <t>Jahanzaib Sultan</t>
  </si>
  <si>
    <t>Sialkot Stallionz</t>
  </si>
  <si>
    <t>Mohammad Ali</t>
  </si>
  <si>
    <t>Hyderabad Houston Kingsmen</t>
  </si>
  <si>
    <t>Haris Rauf</t>
  </si>
  <si>
    <t>Lahore Qalandars</t>
  </si>
  <si>
    <t>Naseem Shah</t>
  </si>
  <si>
    <t>Rawalpindi</t>
  </si>
  <si>
    <t>Azam Khan</t>
  </si>
  <si>
    <t>Sahibzada Farhan</t>
  </si>
  <si>
    <t>Rishad Hossain</t>
  </si>
  <si>
    <t>Bangladesh</t>
  </si>
  <si>
    <t>Mehran Mumtaz</t>
  </si>
  <si>
    <t>Faisal Akram</t>
  </si>
  <si>
    <t>Aamir Jamal</t>
  </si>
  <si>
    <t>Peshawar Zalmi</t>
  </si>
  <si>
    <t>Arafat Minhas</t>
  </si>
  <si>
    <t>Usama Mir</t>
  </si>
  <si>
    <t>Jahandad Khan</t>
  </si>
  <si>
    <t>Salman Ali Agha</t>
  </si>
  <si>
    <t>Fakhar Zaman</t>
  </si>
  <si>
    <t>Daryl Mitchell</t>
  </si>
  <si>
    <t>New Zealand</t>
  </si>
  <si>
    <t>Max Bryant</t>
  </si>
  <si>
    <t>Khurram Shahzad</t>
  </si>
  <si>
    <t>Mohammad Amir</t>
  </si>
  <si>
    <t>Ubaid Shah</t>
  </si>
  <si>
    <t>Kusal Perera</t>
  </si>
  <si>
    <t>Sri Lanka</t>
  </si>
  <si>
    <t>Mohammad Haris</t>
  </si>
  <si>
    <t>Khawaja Nafay</t>
  </si>
  <si>
    <t>Haseebullah Khan</t>
  </si>
  <si>
    <t>Shahid Aziz</t>
  </si>
  <si>
    <t>Irfan Khan Niazi</t>
  </si>
  <si>
    <t>Abdullah Fazal</t>
  </si>
  <si>
    <t>Mark Chapman</t>
  </si>
  <si>
    <t>Ashton Turner</t>
  </si>
  <si>
    <t>Mohammad Wasim Jr</t>
  </si>
  <si>
    <t>Mir Hamza</t>
  </si>
  <si>
    <t>Mohammad Hamza Sohail</t>
  </si>
  <si>
    <t>Bismillah Khan</t>
  </si>
  <si>
    <t>Khalid Usman</t>
  </si>
  <si>
    <t>Aqib Ilyas</t>
  </si>
  <si>
    <t>Oman</t>
  </si>
  <si>
    <t>Mohammad Farooq</t>
  </si>
  <si>
    <t>Sameer Minhas</t>
  </si>
  <si>
    <t>Saqib Khan</t>
  </si>
  <si>
    <t>Sameen Gul</t>
  </si>
  <si>
    <t>Abdul Subhan</t>
  </si>
  <si>
    <t>Brett Hampton</t>
  </si>
  <si>
    <t>Hassan Khan</t>
  </si>
  <si>
    <t>USA</t>
  </si>
  <si>
    <t>Shayan Jahangir</t>
  </si>
  <si>
    <t>Samuel Harper</t>
  </si>
  <si>
    <t>England</t>
  </si>
  <si>
    <t>Shamar Joseph</t>
  </si>
  <si>
    <t>West Indies</t>
  </si>
  <si>
    <t>Bevon Jacobs</t>
  </si>
  <si>
    <t>Lachlan Shaw</t>
  </si>
  <si>
    <t>Delano Potgieter</t>
  </si>
  <si>
    <t>Khuzaima Bin Tanveer</t>
  </si>
  <si>
    <t>UAE</t>
  </si>
  <si>
    <t>Ottneil Baartman</t>
  </si>
  <si>
    <t>Hammad Azam</t>
  </si>
  <si>
    <t>Adam Zampa</t>
  </si>
  <si>
    <t>Amad Butt</t>
  </si>
  <si>
    <t>Mir Hamza Sajjad</t>
  </si>
  <si>
    <t>Wasim Akram Jr</t>
  </si>
  <si>
    <t>Khan Zeb</t>
  </si>
  <si>
    <t>Tabraiz Shamsi</t>
  </si>
  <si>
    <t>Peter Siddle</t>
  </si>
  <si>
    <t>James Vince</t>
  </si>
  <si>
    <t>Riley Meredith</t>
  </si>
  <si>
    <t>Michael Bracewell</t>
  </si>
  <si>
    <t>Dasun Shanaka</t>
  </si>
  <si>
    <t>Kusal Mendis</t>
  </si>
  <si>
    <t>Imad Wasim</t>
  </si>
  <si>
    <t>Richard Gleeson</t>
  </si>
  <si>
    <t>Johnson Charles</t>
  </si>
  <si>
    <t>Iftikhar Ahmed</t>
  </si>
  <si>
    <t>Josh Philippe</t>
  </si>
  <si>
    <t>Saud Shakeel</t>
  </si>
  <si>
    <t>Shan Masood</t>
  </si>
  <si>
    <t>Dian Forrester</t>
  </si>
  <si>
    <t>Ben McDermott</t>
  </si>
  <si>
    <t>Muhammad Waseem</t>
  </si>
  <si>
    <t>Laurie Evans</t>
  </si>
  <si>
    <t>Nahid Rana</t>
  </si>
  <si>
    <t>Parvez Hossain</t>
  </si>
  <si>
    <t>Asif Afridi</t>
  </si>
  <si>
    <t>Asif Ali</t>
  </si>
  <si>
    <t>Haider Ali</t>
  </si>
  <si>
    <t>Hussain Talat</t>
  </si>
  <si>
    <t>Ihsanullah</t>
  </si>
  <si>
    <t>Kamran Ghulam</t>
  </si>
  <si>
    <t>Mohammad Hasnain</t>
  </si>
  <si>
    <t>Sharjeel Khan</t>
  </si>
  <si>
    <t>Tayyab Tahir</t>
  </si>
  <si>
    <t>Dipendra Singh Airee</t>
  </si>
  <si>
    <t>Nepal</t>
  </si>
  <si>
    <t>Asif Mehmood</t>
  </si>
  <si>
    <t>Fawad Ali</t>
  </si>
  <si>
    <t>Hunain Shah</t>
  </si>
  <si>
    <t>Mohammad Amir Khan</t>
  </si>
  <si>
    <t>Momin Qamar</t>
  </si>
  <si>
    <t>Muhammad Awais Zafar</t>
  </si>
  <si>
    <t>Rizwan Mehmood</t>
  </si>
  <si>
    <t>Shahzaib Khan</t>
  </si>
  <si>
    <t>Tom Curran</t>
  </si>
  <si>
    <t>Gudakesh Motie</t>
  </si>
  <si>
    <t>Mirza Tahir Baig</t>
  </si>
  <si>
    <t>Saad Ali</t>
  </si>
  <si>
    <t>Rizwanullah</t>
  </si>
  <si>
    <t>Mohammad Tayyab Arif</t>
  </si>
  <si>
    <t>Spencer Johnson</t>
  </si>
  <si>
    <t>📋  PSL 2026 — RETAINED PLAYERS &amp; DIRECT SIGNINGS</t>
  </si>
  <si>
    <t>Category</t>
  </si>
  <si>
    <t>Price (Cr)</t>
  </si>
  <si>
    <t>Shaheen Shah Afridi</t>
  </si>
  <si>
    <t>Platinum</t>
  </si>
  <si>
    <t>Abdullah Shafique</t>
  </si>
  <si>
    <t>Diamond</t>
  </si>
  <si>
    <t>Sikandar Raza</t>
  </si>
  <si>
    <t>Zimbabwe</t>
  </si>
  <si>
    <t>Gold</t>
  </si>
  <si>
    <t>Mohammad Naeem</t>
  </si>
  <si>
    <t>Silver</t>
  </si>
  <si>
    <t>Abrar Ahmed</t>
  </si>
  <si>
    <t>Usman Tariq</t>
  </si>
  <si>
    <t>Hasan Nawaz</t>
  </si>
  <si>
    <t>Shamyl Hussain</t>
  </si>
  <si>
    <t>Emerging</t>
  </si>
  <si>
    <t>Shadab Khan</t>
  </si>
  <si>
    <t>Salman Irshad</t>
  </si>
  <si>
    <t>Andries Gous</t>
  </si>
  <si>
    <t>Babar Azam</t>
  </si>
  <si>
    <t>Sufyan Muqeem</t>
  </si>
  <si>
    <t>Abdul Samad</t>
  </si>
  <si>
    <t>Ali Raza</t>
  </si>
  <si>
    <t>Hasan Ali</t>
  </si>
  <si>
    <t>Abbas Afridi</t>
  </si>
  <si>
    <t>Khushdil Shah</t>
  </si>
  <si>
    <t>Saad Baig</t>
  </si>
  <si>
    <t>Mohammad Nawaz</t>
  </si>
  <si>
    <t>Retention</t>
  </si>
  <si>
    <t>Salman Mirza</t>
  </si>
  <si>
    <t>Ahmed Daniyal</t>
  </si>
  <si>
    <t>Saad Masood</t>
  </si>
  <si>
    <t>Saim Ayub</t>
  </si>
  <si>
    <t>Usman Khan</t>
  </si>
  <si>
    <t>Akif Javed</t>
  </si>
  <si>
    <t>Maaz Sadaqat</t>
  </si>
  <si>
    <t>Mohammad Rizwan</t>
  </si>
  <si>
    <t>Sam Billings</t>
  </si>
  <si>
    <t>Zaman Khan</t>
  </si>
  <si>
    <t>Yasir Khan</t>
  </si>
  <si>
    <t>⭐  DIRECT OVERSEAS SIGNINGS</t>
  </si>
  <si>
    <t>—</t>
  </si>
  <si>
    <t>Steve Smith</t>
  </si>
  <si>
    <t>Direct Signing</t>
  </si>
  <si>
    <t>Moeen Ali</t>
  </si>
  <si>
    <t>Devon Conway</t>
  </si>
  <si>
    <t>Marnus Labuschagne</t>
  </si>
  <si>
    <t>Mustafizur Rahman</t>
  </si>
  <si>
    <t>💰  PSL 2026 — TEAM BUDGET TRACKER  |  Base Purse: PKR 45 Crore</t>
  </si>
  <si>
    <t>Base Purse (Cr)</t>
  </si>
  <si>
    <t>Auction Spend</t>
  </si>
  <si>
    <t>Retention Spend</t>
  </si>
  <si>
    <t>Direct Signings</t>
  </si>
  <si>
    <t>Total Spent</t>
  </si>
  <si>
    <t>Remaining Purse</t>
  </si>
  <si>
    <t>Squad Size</t>
  </si>
  <si>
    <t>TOTAL</t>
  </si>
  <si>
    <t>📊  PSL 2026 — AUCTION ANALYTICS &amp; INSIGHTS</t>
  </si>
  <si>
    <t>🏆  TOP 10 MOST EXPENSIVE PLAYERS</t>
  </si>
  <si>
    <t>Rank</t>
  </si>
  <si>
    <t>🔥  TOP 10 BIGGEST BIDDING WARS  (Base → Final Price)</t>
  </si>
  <si>
    <t>Base (Cr)</t>
  </si>
  <si>
    <t>Final (Cr)</t>
  </si>
  <si>
    <t>Jump (Cr)</t>
  </si>
  <si>
    <t>🌍  PLAYERS BY COUNTRY</t>
  </si>
  <si>
    <t>Players Sold</t>
  </si>
  <si>
    <t>Total Spend (Cr)</t>
  </si>
  <si>
    <t>Avg Price (Cr)</t>
  </si>
  <si>
    <t>% of Total</t>
  </si>
  <si>
    <t>⚖️  LOCAL vs OVERSEAS SPEND BREAKDOWN</t>
  </si>
  <si>
    <t>Players</t>
  </si>
  <si>
    <t>Avg Price</t>
  </si>
  <si>
    <t>Hyderabad Kingsmen</t>
  </si>
  <si>
    <t>Steve Smith (direct signing)</t>
  </si>
  <si>
    <t>Saim Ayub (retained)</t>
  </si>
  <si>
    <t>Abrar Ahmad (retained)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</si>
</sst>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#,##0.000"/>
    <numFmt numFmtId="165" formatCode="0.0\x"/>
    <numFmt numFmtId="166" formatCode="0.0%"/>
  </numFmts>
  <fonts count="16" x14ac:knownFonts="1">
    <font>
      <sz val="11"/>
      <color theme="1"/>
      <name val="Calibri"/>
      <family val="2"/>
      <charset val="1"/>
    </font>
    <font>
      <b/>
      <sz val="13"/>
      <color rgb="FFFFFFFF"/>
      <name val="Arial"/>
      <charset val="1"/>
    </font>
    <font>
      <b/>
      <sz val="11"/>
      <color rgb="FFFFFFFF"/>
      <name val="Arial"/>
      <charset val="1"/>
    </font>
    <font>
      <sz val="10"/>
      <color rgb="FF000000"/>
      <name val="Arial"/>
      <charset val="1"/>
    </font>
    <font>
      <b/>
      <sz val="10"/>
      <color rgb="FF000000"/>
      <name val="Arial"/>
      <charset val="1"/>
    </font>
    <font>
      <i/>
      <sz val="10"/>
      <color rgb="FF555555"/>
      <name val="Arial"/>
      <charset val="1"/>
    </font>
    <font>
      <b/>
      <sz val="10"/>
      <color rgb="FFFFFFFF"/>
      <name val="Arial"/>
      <charset val="1"/>
    </font>
    <font>
      <b/>
      <sz val="10"/>
      <color rgb="FF1A5276"/>
      <name val="Arial"/>
      <charset val="1"/>
    </font>
    <font>
      <sz val="10"/>
      <color rgb="FF27AE60"/>
      <name val="Arial"/>
      <charset val="1"/>
    </font>
    <font>
      <b/>
      <sz val="10"/>
      <color rgb="FF8E44AD"/>
      <name val="Arial"/>
      <charset val="1"/>
    </font>
    <font>
      <b/>
      <sz val="10"/>
      <color rgb="FF2980B9"/>
      <name val="Arial"/>
      <charset val="1"/>
    </font>
    <font>
      <b/>
      <sz val="10"/>
      <color rgb="FFC0392B"/>
      <name val="Arial"/>
      <charset val="1"/>
    </font>
    <font>
      <b/>
      <sz val="12"/>
      <color rgb="FF000000"/>
      <name val="Arial"/>
      <charset val="1"/>
    </font>
    <font>
      <b/>
      <sz val="10"/>
      <color rgb="FF27AE60"/>
      <name val="Arial"/>
      <charset val="1"/>
    </font>
    <font>
      <b/>
      <sz val="13"/>
      <color rgb="FFFFFFFF"/>
      <name val="Arial"/>
      <family val="2"/>
    </font>
    <font>
      <b/>
      <sz val="11"/>
      <color rgb="FFFFFFFF"/>
      <name val="Arial"/>
      <family val="2"/>
    </font>
  </fonts>
  <fills count="36">
    <fill>
      <patternFill patternType="none"/>
    </fill>
    <fill>
      <patternFill patternType="gray125"/>
    </fill>
    <fill>
      <patternFill patternType="solid">
        <fgColor rgb="FF2C3E50"/>
        <bgColor rgb="FF2E4057"/>
      </patternFill>
    </fill>
    <fill>
      <patternFill patternType="solid">
        <fgColor rgb="FFFFFFFF"/>
        <bgColor rgb="FFF9F9F9"/>
      </patternFill>
    </fill>
    <fill>
      <patternFill patternType="solid">
        <fgColor rgb="FFEE1C25"/>
        <bgColor rgb="FFC0392B"/>
      </patternFill>
    </fill>
    <fill>
      <patternFill patternType="solid">
        <fgColor rgb="FFF0F4FF"/>
        <bgColor rgb="FFF9F9F9"/>
      </patternFill>
    </fill>
    <fill>
      <patternFill patternType="solid">
        <fgColor rgb="FF003DA5"/>
        <bgColor rgb="FF1A5276"/>
      </patternFill>
    </fill>
    <fill>
      <patternFill patternType="solid">
        <fgColor rgb="FF6A0DAD"/>
        <bgColor rgb="FF800080"/>
      </patternFill>
    </fill>
    <fill>
      <patternFill patternType="solid">
        <fgColor rgb="FF2E4057"/>
        <bgColor rgb="FF2C3E50"/>
      </patternFill>
    </fill>
    <fill>
      <patternFill patternType="solid">
        <fgColor rgb="FFE67E22"/>
        <bgColor rgb="FFCD7F32"/>
      </patternFill>
    </fill>
    <fill>
      <patternFill patternType="solid">
        <fgColor rgb="FF00A86B"/>
        <bgColor rgb="FF27AE60"/>
      </patternFill>
    </fill>
    <fill>
      <patternFill patternType="solid">
        <fgColor rgb="FF1A5276"/>
        <bgColor rgb="FF34495E"/>
      </patternFill>
    </fill>
    <fill>
      <patternFill patternType="solid">
        <fgColor rgb="FFF7A800"/>
        <bgColor rgb="FFE67E22"/>
      </patternFill>
    </fill>
    <fill>
      <patternFill patternType="solid">
        <fgColor rgb="FFB7950B"/>
        <bgColor rgb="FFCD7F32"/>
      </patternFill>
    </fill>
    <fill>
      <patternFill patternType="solid">
        <fgColor rgb="FF717D7E"/>
        <bgColor rgb="FF878787"/>
      </patternFill>
    </fill>
    <fill>
      <patternFill patternType="solid">
        <fgColor rgb="FF1E8449"/>
        <bgColor rgb="FF27AE60"/>
      </patternFill>
    </fill>
    <fill>
      <patternFill patternType="solid">
        <fgColor rgb="FF6C3483"/>
        <bgColor rgb="FF8E44AD"/>
      </patternFill>
    </fill>
    <fill>
      <patternFill patternType="solid">
        <fgColor rgb="FF34495E"/>
        <bgColor rgb="FF2E4057"/>
      </patternFill>
    </fill>
    <fill>
      <patternFill patternType="solid">
        <fgColor rgb="FFFFD700"/>
        <bgColor rgb="FFFFFF00"/>
      </patternFill>
    </fill>
    <fill>
      <patternFill patternType="solid">
        <fgColor rgb="FFC0C0C0"/>
        <bgColor rgb="FFCCCCCC"/>
      </patternFill>
    </fill>
    <fill>
      <patternFill patternType="solid">
        <fgColor rgb="FFCD7F32"/>
        <bgColor rgb="FFE67E22"/>
      </patternFill>
    </fill>
    <fill>
      <patternFill patternType="solid">
        <fgColor rgb="FFD6EAF8"/>
        <bgColor rgb="FFF0F4FF"/>
      </patternFill>
    </fill>
    <fill>
      <patternFill patternType="solid">
        <fgColor rgb="FFFADBD8"/>
        <bgColor rgb="FFD9D9D9"/>
      </patternFill>
    </fill>
    <fill>
      <patternFill patternType="solid">
        <fgColor theme="7" tint="-0.249977111117893"/>
        <bgColor rgb="FF2E4057"/>
      </patternFill>
    </fill>
    <fill>
      <patternFill patternType="solid">
        <fgColor theme="7" tint="-0.499984740745262"/>
        <bgColor rgb="FF000000"/>
      </patternFill>
    </fill>
    <fill>
      <patternFill patternType="solid">
        <fgColor theme="5" tint="-0.499984740745262"/>
        <bgColor rgb="FF000000"/>
      </patternFill>
    </fill>
    <fill>
      <patternFill patternType="solid">
        <fgColor theme="5" tint="-0.249977111117893"/>
        <bgColor rgb="FF2E4057"/>
      </patternFill>
    </fill>
    <fill>
      <patternFill patternType="solid">
        <fgColor rgb="FF163658"/>
        <bgColor rgb="FF2E4057"/>
      </patternFill>
    </fill>
    <fill>
      <patternFill patternType="solid">
        <fgColor theme="5" tint="0.39997558519241921"/>
        <bgColor rgb="FFFFFF00"/>
      </patternFill>
    </fill>
    <fill>
      <patternFill patternType="solid">
        <fgColor theme="8" tint="0.39997558519241921"/>
        <bgColor rgb="FFCCCCCC"/>
      </patternFill>
    </fill>
    <fill>
      <patternFill patternType="solid">
        <fgColor theme="0"/>
        <bgColor rgb="FFE67E22"/>
      </patternFill>
    </fill>
    <fill>
      <patternFill patternType="solid">
        <fgColor theme="6"/>
        <bgColor rgb="FFFFFF00"/>
      </patternFill>
    </fill>
    <fill>
      <patternFill patternType="solid">
        <fgColor rgb="FF7030A0"/>
        <bgColor rgb="FF34495E"/>
      </patternFill>
    </fill>
    <fill>
      <patternFill patternType="solid">
        <fgColor theme="8" tint="-0.499984740745262"/>
        <bgColor rgb="FF34495E"/>
      </patternFill>
    </fill>
    <fill>
      <patternFill patternType="solid">
        <fgColor theme="3" tint="-0.499984740745262"/>
        <bgColor rgb="FF2C3E50"/>
      </patternFill>
    </fill>
    <fill>
      <patternFill patternType="solid">
        <fgColor theme="5" tint="-0.249977111117893"/>
        <bgColor rgb="FF2C3E50"/>
      </patternFill>
    </fill>
  </fills>
  <borders count="3">
    <border>
      <left/>
      <right/>
      <top/>
      <bottom/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</borders>
  <cellStyleXfs count="1">
    <xf numFmtId="0" fontId="0" fillId="0" borderId="0"/>
  </cellStyleXfs>
  <cellXfs count="103">
    <xf numFmtId="0" fontId="0" fillId="0" borderId="0" xfId="0"/>
    <xf numFmtId="0" fontId="3" fillId="3" borderId="2" xfId="0" applyFont="1" applyFill="1" applyBorder="1" applyAlignment="1">
      <alignment horizontal="center" vertical="center"/>
    </xf>
    <xf numFmtId="0" fontId="4" fillId="3" borderId="2" xfId="0" applyFont="1" applyFill="1" applyBorder="1" applyAlignment="1">
      <alignment horizontal="left" vertical="center"/>
    </xf>
    <xf numFmtId="0" fontId="5" fillId="3" borderId="2" xfId="0" applyFont="1" applyFill="1" applyBorder="1" applyAlignment="1">
      <alignment horizontal="left" vertical="center"/>
    </xf>
    <xf numFmtId="0" fontId="6" fillId="4" borderId="2" xfId="0" applyFont="1" applyFill="1" applyBorder="1" applyAlignment="1">
      <alignment horizontal="left" vertical="center"/>
    </xf>
    <xf numFmtId="164" fontId="3" fillId="3" borderId="2" xfId="0" applyNumberFormat="1" applyFont="1" applyFill="1" applyBorder="1" applyAlignment="1">
      <alignment horizontal="center" vertical="center"/>
    </xf>
    <xf numFmtId="164" fontId="7" fillId="3" borderId="2" xfId="0" applyNumberFormat="1" applyFont="1" applyFill="1" applyBorder="1" applyAlignment="1">
      <alignment horizontal="center" vertical="center"/>
    </xf>
    <xf numFmtId="164" fontId="8" fillId="3" borderId="2" xfId="0" applyNumberFormat="1" applyFont="1" applyFill="1" applyBorder="1" applyAlignment="1">
      <alignment horizontal="center" vertical="center"/>
    </xf>
    <xf numFmtId="165" fontId="9" fillId="3" borderId="2" xfId="0" applyNumberFormat="1" applyFont="1" applyFill="1" applyBorder="1" applyAlignment="1">
      <alignment horizontal="center" vertical="center"/>
    </xf>
    <xf numFmtId="0" fontId="10" fillId="3" borderId="2" xfId="0" applyFont="1" applyFill="1" applyBorder="1" applyAlignment="1">
      <alignment horizontal="center" vertical="center"/>
    </xf>
    <xf numFmtId="0" fontId="3" fillId="5" borderId="2" xfId="0" applyFont="1" applyFill="1" applyBorder="1" applyAlignment="1">
      <alignment horizontal="center" vertical="center"/>
    </xf>
    <xf numFmtId="0" fontId="4" fillId="5" borderId="2" xfId="0" applyFont="1" applyFill="1" applyBorder="1" applyAlignment="1">
      <alignment horizontal="left" vertical="center"/>
    </xf>
    <xf numFmtId="0" fontId="5" fillId="5" borderId="2" xfId="0" applyFont="1" applyFill="1" applyBorder="1" applyAlignment="1">
      <alignment horizontal="left" vertical="center"/>
    </xf>
    <xf numFmtId="0" fontId="6" fillId="6" borderId="2" xfId="0" applyFont="1" applyFill="1" applyBorder="1" applyAlignment="1">
      <alignment horizontal="left" vertical="center"/>
    </xf>
    <xf numFmtId="164" fontId="3" fillId="5" borderId="2" xfId="0" applyNumberFormat="1" applyFont="1" applyFill="1" applyBorder="1" applyAlignment="1">
      <alignment horizontal="center" vertical="center"/>
    </xf>
    <xf numFmtId="164" fontId="7" fillId="5" borderId="2" xfId="0" applyNumberFormat="1" applyFont="1" applyFill="1" applyBorder="1" applyAlignment="1">
      <alignment horizontal="center" vertical="center"/>
    </xf>
    <xf numFmtId="164" fontId="8" fillId="5" borderId="2" xfId="0" applyNumberFormat="1" applyFont="1" applyFill="1" applyBorder="1" applyAlignment="1">
      <alignment horizontal="center" vertical="center"/>
    </xf>
    <xf numFmtId="165" fontId="9" fillId="5" borderId="2" xfId="0" applyNumberFormat="1" applyFont="1" applyFill="1" applyBorder="1" applyAlignment="1">
      <alignment horizontal="center" vertical="center"/>
    </xf>
    <xf numFmtId="0" fontId="11" fillId="5" borderId="2" xfId="0" applyFont="1" applyFill="1" applyBorder="1" applyAlignment="1">
      <alignment horizontal="center" vertical="center"/>
    </xf>
    <xf numFmtId="0" fontId="6" fillId="7" borderId="2" xfId="0" applyFont="1" applyFill="1" applyBorder="1" applyAlignment="1">
      <alignment horizontal="left" vertical="center"/>
    </xf>
    <xf numFmtId="0" fontId="11" fillId="3" borderId="2" xfId="0" applyFont="1" applyFill="1" applyBorder="1" applyAlignment="1">
      <alignment horizontal="center" vertical="center"/>
    </xf>
    <xf numFmtId="0" fontId="6" fillId="8" borderId="2" xfId="0" applyFont="1" applyFill="1" applyBorder="1" applyAlignment="1">
      <alignment horizontal="left" vertical="center"/>
    </xf>
    <xf numFmtId="0" fontId="10" fillId="5" borderId="2" xfId="0" applyFont="1" applyFill="1" applyBorder="1" applyAlignment="1">
      <alignment horizontal="center" vertical="center"/>
    </xf>
    <xf numFmtId="0" fontId="6" fillId="9" borderId="2" xfId="0" applyFont="1" applyFill="1" applyBorder="1" applyAlignment="1">
      <alignment horizontal="left" vertical="center"/>
    </xf>
    <xf numFmtId="0" fontId="6" fillId="10" borderId="2" xfId="0" applyFont="1" applyFill="1" applyBorder="1" applyAlignment="1">
      <alignment horizontal="left" vertical="center"/>
    </xf>
    <xf numFmtId="0" fontId="6" fillId="11" borderId="2" xfId="0" applyFont="1" applyFill="1" applyBorder="1" applyAlignment="1">
      <alignment horizontal="left" vertical="center"/>
    </xf>
    <xf numFmtId="0" fontId="4" fillId="12" borderId="2" xfId="0" applyFont="1" applyFill="1" applyBorder="1" applyAlignment="1">
      <alignment horizontal="left" vertical="center"/>
    </xf>
    <xf numFmtId="0" fontId="6" fillId="2" borderId="2" xfId="0" applyFont="1" applyFill="1" applyBorder="1" applyAlignment="1">
      <alignment horizontal="center" vertical="center"/>
    </xf>
    <xf numFmtId="4" fontId="7" fillId="3" borderId="2" xfId="0" applyNumberFormat="1" applyFont="1" applyFill="1" applyBorder="1" applyAlignment="1">
      <alignment horizontal="center" vertical="center"/>
    </xf>
    <xf numFmtId="0" fontId="6" fillId="11" borderId="2" xfId="0" applyFont="1" applyFill="1" applyBorder="1" applyAlignment="1">
      <alignment horizontal="center" vertical="center"/>
    </xf>
    <xf numFmtId="4" fontId="7" fillId="5" borderId="2" xfId="0" applyNumberFormat="1" applyFont="1" applyFill="1" applyBorder="1" applyAlignment="1">
      <alignment horizontal="center" vertical="center"/>
    </xf>
    <xf numFmtId="0" fontId="6" fillId="13" borderId="2" xfId="0" applyFont="1" applyFill="1" applyBorder="1" applyAlignment="1">
      <alignment horizontal="center" vertical="center"/>
    </xf>
    <xf numFmtId="0" fontId="6" fillId="14" borderId="2" xfId="0" applyFont="1" applyFill="1" applyBorder="1" applyAlignment="1">
      <alignment horizontal="center" vertical="center"/>
    </xf>
    <xf numFmtId="0" fontId="6" fillId="15" borderId="2" xfId="0" applyFont="1" applyFill="1" applyBorder="1" applyAlignment="1">
      <alignment horizontal="center" vertical="center"/>
    </xf>
    <xf numFmtId="0" fontId="6" fillId="16" borderId="2" xfId="0" applyFont="1" applyFill="1" applyBorder="1" applyAlignment="1">
      <alignment horizontal="center" vertical="center"/>
    </xf>
    <xf numFmtId="0" fontId="4" fillId="13" borderId="2" xfId="0" applyFont="1" applyFill="1" applyBorder="1" applyAlignment="1">
      <alignment horizontal="center"/>
    </xf>
    <xf numFmtId="4" fontId="11" fillId="3" borderId="2" xfId="0" applyNumberFormat="1" applyFont="1" applyFill="1" applyBorder="1" applyAlignment="1">
      <alignment horizontal="center" vertical="center"/>
    </xf>
    <xf numFmtId="4" fontId="11" fillId="5" borderId="2" xfId="0" applyNumberFormat="1" applyFont="1" applyFill="1" applyBorder="1" applyAlignment="1">
      <alignment horizontal="center" vertical="center"/>
    </xf>
    <xf numFmtId="164" fontId="13" fillId="3" borderId="2" xfId="0" applyNumberFormat="1" applyFont="1" applyFill="1" applyBorder="1" applyAlignment="1">
      <alignment horizontal="center" vertical="center"/>
    </xf>
    <xf numFmtId="164" fontId="13" fillId="5" borderId="2" xfId="0" applyNumberFormat="1" applyFont="1" applyFill="1" applyBorder="1" applyAlignment="1">
      <alignment horizontal="center" vertical="center"/>
    </xf>
    <xf numFmtId="0" fontId="2" fillId="17" borderId="2" xfId="0" applyFont="1" applyFill="1" applyBorder="1" applyAlignment="1">
      <alignment horizontal="center" vertical="center" wrapText="1"/>
    </xf>
    <xf numFmtId="0" fontId="4" fillId="18" borderId="2" xfId="0" applyFont="1" applyFill="1" applyBorder="1" applyAlignment="1">
      <alignment horizontal="center" vertical="center"/>
    </xf>
    <xf numFmtId="0" fontId="4" fillId="18" borderId="2" xfId="0" applyFont="1" applyFill="1" applyBorder="1" applyAlignment="1">
      <alignment horizontal="left" vertical="center"/>
    </xf>
    <xf numFmtId="0" fontId="4" fillId="19" borderId="2" xfId="0" applyFont="1" applyFill="1" applyBorder="1" applyAlignment="1">
      <alignment horizontal="center" vertical="center"/>
    </xf>
    <xf numFmtId="0" fontId="4" fillId="19" borderId="2" xfId="0" applyFont="1" applyFill="1" applyBorder="1" applyAlignment="1">
      <alignment horizontal="left" vertical="center"/>
    </xf>
    <xf numFmtId="0" fontId="4" fillId="20" borderId="2" xfId="0" applyFont="1" applyFill="1" applyBorder="1" applyAlignment="1">
      <alignment horizontal="center" vertical="center"/>
    </xf>
    <xf numFmtId="0" fontId="4" fillId="20" borderId="2" xfId="0" applyFont="1" applyFill="1" applyBorder="1" applyAlignment="1">
      <alignment horizontal="left" vertical="center"/>
    </xf>
    <xf numFmtId="164" fontId="4" fillId="18" borderId="2" xfId="0" applyNumberFormat="1" applyFont="1" applyFill="1" applyBorder="1" applyAlignment="1">
      <alignment horizontal="center" vertical="center"/>
    </xf>
    <xf numFmtId="164" fontId="13" fillId="18" borderId="2" xfId="0" applyNumberFormat="1" applyFont="1" applyFill="1" applyBorder="1" applyAlignment="1">
      <alignment horizontal="center" vertical="center"/>
    </xf>
    <xf numFmtId="164" fontId="4" fillId="19" borderId="2" xfId="0" applyNumberFormat="1" applyFont="1" applyFill="1" applyBorder="1" applyAlignment="1">
      <alignment horizontal="center" vertical="center"/>
    </xf>
    <xf numFmtId="164" fontId="13" fillId="19" borderId="2" xfId="0" applyNumberFormat="1" applyFont="1" applyFill="1" applyBorder="1" applyAlignment="1">
      <alignment horizontal="center" vertical="center"/>
    </xf>
    <xf numFmtId="164" fontId="4" fillId="20" borderId="2" xfId="0" applyNumberFormat="1" applyFont="1" applyFill="1" applyBorder="1" applyAlignment="1">
      <alignment horizontal="center" vertical="center"/>
    </xf>
    <xf numFmtId="164" fontId="13" fillId="20" borderId="2" xfId="0" applyNumberFormat="1" applyFont="1" applyFill="1" applyBorder="1" applyAlignment="1">
      <alignment horizontal="center" vertical="center"/>
    </xf>
    <xf numFmtId="4" fontId="3" fillId="3" borderId="2" xfId="0" applyNumberFormat="1" applyFont="1" applyFill="1" applyBorder="1" applyAlignment="1">
      <alignment horizontal="center" vertical="center"/>
    </xf>
    <xf numFmtId="166" fontId="3" fillId="3" borderId="2" xfId="0" applyNumberFormat="1" applyFont="1" applyFill="1" applyBorder="1" applyAlignment="1">
      <alignment horizontal="center" vertical="center"/>
    </xf>
    <xf numFmtId="4" fontId="3" fillId="5" borderId="2" xfId="0" applyNumberFormat="1" applyFont="1" applyFill="1" applyBorder="1" applyAlignment="1">
      <alignment horizontal="center" vertical="center"/>
    </xf>
    <xf numFmtId="166" fontId="3" fillId="5" borderId="2" xfId="0" applyNumberFormat="1" applyFont="1" applyFill="1" applyBorder="1" applyAlignment="1">
      <alignment horizontal="center" vertical="center"/>
    </xf>
    <xf numFmtId="0" fontId="4" fillId="21" borderId="2" xfId="0" applyFont="1" applyFill="1" applyBorder="1" applyAlignment="1">
      <alignment horizontal="center" vertical="center"/>
    </xf>
    <xf numFmtId="4" fontId="4" fillId="21" borderId="2" xfId="0" applyNumberFormat="1" applyFont="1" applyFill="1" applyBorder="1" applyAlignment="1">
      <alignment horizontal="center" vertical="center"/>
    </xf>
    <xf numFmtId="0" fontId="4" fillId="22" borderId="2" xfId="0" applyFont="1" applyFill="1" applyBorder="1" applyAlignment="1">
      <alignment horizontal="center" vertical="center"/>
    </xf>
    <xf numFmtId="4" fontId="4" fillId="22" borderId="2" xfId="0" applyNumberFormat="1" applyFont="1" applyFill="1" applyBorder="1" applyAlignment="1">
      <alignment horizontal="center" vertical="center"/>
    </xf>
    <xf numFmtId="0" fontId="2" fillId="23" borderId="2" xfId="0" applyFont="1" applyFill="1" applyBorder="1" applyAlignment="1">
      <alignment horizontal="center" vertical="center" wrapText="1"/>
    </xf>
    <xf numFmtId="0" fontId="15" fillId="26" borderId="2" xfId="0" applyFont="1" applyFill="1" applyBorder="1" applyAlignment="1">
      <alignment horizontal="center" vertical="center" wrapText="1"/>
    </xf>
    <xf numFmtId="0" fontId="2" fillId="26" borderId="2" xfId="0" applyFont="1" applyFill="1" applyBorder="1" applyAlignment="1">
      <alignment horizontal="center" vertical="center" wrapText="1"/>
    </xf>
    <xf numFmtId="0" fontId="2" fillId="24" borderId="2" xfId="0" applyFont="1" applyFill="1" applyBorder="1" applyAlignment="1">
      <alignment horizontal="center" vertical="center"/>
    </xf>
    <xf numFmtId="164" fontId="2" fillId="24" borderId="2" xfId="0" applyNumberFormat="1" applyFont="1" applyFill="1" applyBorder="1" applyAlignment="1">
      <alignment horizontal="center" vertical="center"/>
    </xf>
    <xf numFmtId="0" fontId="1" fillId="24" borderId="1" xfId="0" applyFont="1" applyFill="1" applyBorder="1" applyAlignment="1">
      <alignment horizontal="center" vertical="center" wrapText="1"/>
    </xf>
    <xf numFmtId="0" fontId="2" fillId="27" borderId="1" xfId="0" applyFont="1" applyFill="1" applyBorder="1" applyAlignment="1">
      <alignment horizontal="center" vertical="center" wrapText="1"/>
    </xf>
    <xf numFmtId="0" fontId="2" fillId="2" borderId="1" xfId="0" applyFont="1" applyFill="1" applyBorder="1" applyAlignment="1">
      <alignment horizontal="center" vertical="center" wrapText="1"/>
    </xf>
    <xf numFmtId="0" fontId="14" fillId="24" borderId="1" xfId="0" applyFont="1" applyFill="1" applyBorder="1" applyAlignment="1">
      <alignment horizontal="center" vertical="center" wrapText="1"/>
    </xf>
    <xf numFmtId="0" fontId="1" fillId="25" borderId="1" xfId="0" applyFont="1" applyFill="1" applyBorder="1" applyAlignment="1">
      <alignment horizontal="center" vertical="center" wrapText="1"/>
    </xf>
    <xf numFmtId="0" fontId="12" fillId="13" borderId="1" xfId="0" applyFont="1" applyFill="1" applyBorder="1" applyAlignment="1">
      <alignment horizontal="center" vertical="center" wrapText="1"/>
    </xf>
    <xf numFmtId="0" fontId="4" fillId="28" borderId="2" xfId="0" applyFont="1" applyFill="1" applyBorder="1" applyAlignment="1">
      <alignment horizontal="center" vertical="center"/>
    </xf>
    <xf numFmtId="0" fontId="4" fillId="28" borderId="2" xfId="0" applyFont="1" applyFill="1" applyBorder="1" applyAlignment="1">
      <alignment horizontal="left" vertical="center"/>
    </xf>
    <xf numFmtId="0" fontId="5" fillId="28" borderId="2" xfId="0" applyFont="1" applyFill="1" applyBorder="1" applyAlignment="1">
      <alignment horizontal="left" vertical="center"/>
    </xf>
    <xf numFmtId="164" fontId="7" fillId="28" borderId="2" xfId="0" applyNumberFormat="1" applyFont="1" applyFill="1" applyBorder="1" applyAlignment="1">
      <alignment horizontal="center" vertical="center"/>
    </xf>
    <xf numFmtId="0" fontId="11" fillId="28" borderId="2" xfId="0" applyFont="1" applyFill="1" applyBorder="1" applyAlignment="1">
      <alignment horizontal="center" vertical="center"/>
    </xf>
    <xf numFmtId="0" fontId="4" fillId="29" borderId="2" xfId="0" applyFont="1" applyFill="1" applyBorder="1" applyAlignment="1">
      <alignment horizontal="center" vertical="center"/>
    </xf>
    <xf numFmtId="0" fontId="4" fillId="29" borderId="2" xfId="0" applyFont="1" applyFill="1" applyBorder="1" applyAlignment="1">
      <alignment horizontal="left" vertical="center"/>
    </xf>
    <xf numFmtId="0" fontId="5" fillId="29" borderId="2" xfId="0" applyFont="1" applyFill="1" applyBorder="1" applyAlignment="1">
      <alignment horizontal="left" vertical="center"/>
    </xf>
    <xf numFmtId="164" fontId="7" fillId="29" borderId="2" xfId="0" applyNumberFormat="1" applyFont="1" applyFill="1" applyBorder="1" applyAlignment="1">
      <alignment horizontal="center" vertical="center"/>
    </xf>
    <xf numFmtId="0" fontId="10" fillId="29" borderId="2" xfId="0" applyFont="1" applyFill="1" applyBorder="1" applyAlignment="1">
      <alignment horizontal="center" vertical="center"/>
    </xf>
    <xf numFmtId="0" fontId="4" fillId="30" borderId="2" xfId="0" applyFont="1" applyFill="1" applyBorder="1" applyAlignment="1">
      <alignment horizontal="center" vertical="center"/>
    </xf>
    <xf numFmtId="0" fontId="4" fillId="30" borderId="2" xfId="0" applyFont="1" applyFill="1" applyBorder="1" applyAlignment="1">
      <alignment horizontal="left" vertical="center"/>
    </xf>
    <xf numFmtId="0" fontId="5" fillId="30" borderId="2" xfId="0" applyFont="1" applyFill="1" applyBorder="1" applyAlignment="1">
      <alignment horizontal="left" vertical="center"/>
    </xf>
    <xf numFmtId="164" fontId="7" fillId="30" borderId="2" xfId="0" applyNumberFormat="1" applyFont="1" applyFill="1" applyBorder="1" applyAlignment="1">
      <alignment horizontal="center" vertical="center"/>
    </xf>
    <xf numFmtId="0" fontId="10" fillId="30" borderId="2" xfId="0" applyFont="1" applyFill="1" applyBorder="1" applyAlignment="1">
      <alignment horizontal="center" vertical="center"/>
    </xf>
    <xf numFmtId="0" fontId="4" fillId="31" borderId="2" xfId="0" applyFont="1" applyFill="1" applyBorder="1" applyAlignment="1">
      <alignment horizontal="center" vertical="center"/>
    </xf>
    <xf numFmtId="0" fontId="4" fillId="31" borderId="2" xfId="0" applyFont="1" applyFill="1" applyBorder="1" applyAlignment="1">
      <alignment horizontal="left" vertical="center"/>
    </xf>
    <xf numFmtId="0" fontId="5" fillId="31" borderId="2" xfId="0" applyFont="1" applyFill="1" applyBorder="1" applyAlignment="1">
      <alignment horizontal="left" vertical="center"/>
    </xf>
    <xf numFmtId="164" fontId="7" fillId="31" borderId="2" xfId="0" applyNumberFormat="1" applyFont="1" applyFill="1" applyBorder="1" applyAlignment="1">
      <alignment horizontal="center" vertical="center"/>
    </xf>
    <xf numFmtId="0" fontId="11" fillId="31" borderId="2" xfId="0" applyFont="1" applyFill="1" applyBorder="1" applyAlignment="1">
      <alignment horizontal="center" vertical="center"/>
    </xf>
    <xf numFmtId="0" fontId="6" fillId="32" borderId="2" xfId="0" applyFont="1" applyFill="1" applyBorder="1" applyAlignment="1">
      <alignment horizontal="left" vertical="center"/>
    </xf>
    <xf numFmtId="0" fontId="6" fillId="33" borderId="2" xfId="0" applyFont="1" applyFill="1" applyBorder="1" applyAlignment="1">
      <alignment horizontal="left" vertical="center"/>
    </xf>
    <xf numFmtId="0" fontId="6" fillId="34" borderId="2" xfId="0" applyFont="1" applyFill="1" applyBorder="1" applyAlignment="1">
      <alignment horizontal="left" vertical="center"/>
    </xf>
    <xf numFmtId="0" fontId="6" fillId="35" borderId="2" xfId="0" applyFont="1" applyFill="1" applyBorder="1" applyAlignment="1">
      <alignment horizontal="left" vertical="center"/>
    </xf>
    <xf numFmtId="0" fontId="6" fillId="8" borderId="2" xfId="0" applyFont="1" applyFill="1" applyBorder="1" applyAlignment="1">
      <alignment horizontal="center" vertical="center"/>
    </xf>
    <xf numFmtId="0" fontId="6" fillId="9" borderId="2" xfId="0" applyFont="1" applyFill="1" applyBorder="1" applyAlignment="1">
      <alignment horizontal="center" vertical="center"/>
    </xf>
    <xf numFmtId="0" fontId="6" fillId="6" borderId="2" xfId="0" applyFont="1" applyFill="1" applyBorder="1" applyAlignment="1">
      <alignment horizontal="center" vertical="center"/>
    </xf>
    <xf numFmtId="0" fontId="6" fillId="4" borderId="2" xfId="0" applyFont="1" applyFill="1" applyBorder="1" applyAlignment="1">
      <alignment horizontal="center" vertical="center"/>
    </xf>
    <xf numFmtId="0" fontId="6" fillId="10" borderId="2" xfId="0" applyFont="1" applyFill="1" applyBorder="1" applyAlignment="1">
      <alignment horizontal="center" vertical="center"/>
    </xf>
    <xf numFmtId="0" fontId="6" fillId="7" borderId="2" xfId="0" applyFont="1" applyFill="1" applyBorder="1" applyAlignment="1">
      <alignment horizontal="center" vertical="center"/>
    </xf>
    <xf numFmtId="0" fontId="4" fillId="12" borderId="2" xfId="0" applyFont="1" applyFill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colors>
    <indexedColors>
      <rgbColor rgb="FF000000"/>
      <rgbColor rgb="FFFFFFFF"/>
      <rgbColor rgb="FFEE1C25"/>
      <rgbColor rgb="FF00FF00"/>
      <rgbColor rgb="FF0000FF"/>
      <rgbColor rgb="FFFFFF00"/>
      <rgbColor rgb="FFFF00FF"/>
      <rgbColor rgb="FF00FFFF"/>
      <rgbColor rgb="FF800000"/>
      <rgbColor rgb="FF00A86B"/>
      <rgbColor rgb="FF000080"/>
      <rgbColor rgb="FFB7950B"/>
      <rgbColor rgb="FF6A0DAD"/>
      <rgbColor rgb="FF1E8449"/>
      <rgbColor rgb="FFC0C0C0"/>
      <rgbColor rgb="FF878787"/>
      <rgbColor rgb="FF9999FF"/>
      <rgbColor rgb="FF6C3483"/>
      <rgbColor rgb="FFF9F9F9"/>
      <rgbColor rgb="FFD6EAF8"/>
      <rgbColor rgb="FF555555"/>
      <rgbColor rgb="FFCD7F32"/>
      <rgbColor rgb="FF1A5276"/>
      <rgbColor rgb="FFCCCCCC"/>
      <rgbColor rgb="FF000080"/>
      <rgbColor rgb="FFFF00FF"/>
      <rgbColor rgb="FFFFFF00"/>
      <rgbColor rgb="FF00FFFF"/>
      <rgbColor rgb="FF800080"/>
      <rgbColor rgb="FF800000"/>
      <rgbColor rgb="FF2980B9"/>
      <rgbColor rgb="FF0000FF"/>
      <rgbColor rgb="FF00CCFF"/>
      <rgbColor rgb="FFF0F4FF"/>
      <rgbColor rgb="FFD9D9D9"/>
      <rgbColor rgb="FFFFFF99"/>
      <rgbColor rgb="FF99CCFF"/>
      <rgbColor rgb="FFFF99CC"/>
      <rgbColor rgb="FFCC99FF"/>
      <rgbColor rgb="FFFADBD8"/>
      <rgbColor rgb="FF4F81BD"/>
      <rgbColor rgb="FF33CCCC"/>
      <rgbColor rgb="FF99CC00"/>
      <rgbColor rgb="FFFFD700"/>
      <rgbColor rgb="FFF7A800"/>
      <rgbColor rgb="FFE67E22"/>
      <rgbColor rgb="FF717D7E"/>
      <rgbColor rgb="FFC0504D"/>
      <rgbColor rgb="FF003DA5"/>
      <rgbColor rgb="FF27AE60"/>
      <rgbColor rgb="FF34495E"/>
      <rgbColor rgb="FF1A1A2E"/>
      <rgbColor rgb="FFC0392B"/>
      <rgbColor rgb="FF8E44AD"/>
      <rgbColor rgb="FF2E4057"/>
      <rgbColor rgb="FF2C3E50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  <mruColors>
      <color rgb="FF163658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/>
          <a:lstStyle/>
          <a:p>
            <a:pPr>
              <a:defRPr sz="1800" b="1" strike="noStrike" spc="-1">
                <a:solidFill>
                  <a:srgbClr val="000000"/>
                </a:solidFill>
                <a:latin typeface="Calibri"/>
              </a:defRPr>
            </a:pPr>
            <a:r>
              <a:rPr lang="en-US" sz="1800" b="1" strike="noStrike" spc="-1">
                <a:solidFill>
                  <a:srgbClr val="000000"/>
                </a:solidFill>
                <a:latin typeface="Calibri"/>
              </a:rPr>
              <a:t>Total Auction Spend by Team (PKR Crore)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layout>
        <c:manualLayout>
          <c:layoutTarget val="inner"/>
          <c:xMode val="edge"/>
          <c:yMode val="edge"/>
          <c:x val="6.2904123312612387E-2"/>
          <c:y val="0.12297310286417953"/>
          <c:w val="0.76498406039304501"/>
          <c:h val="0.76586319603983766"/>
        </c:manualLayout>
      </c:layout>
      <c:barChart>
        <c:barDir val="col"/>
        <c:grouping val="clustered"/>
        <c:varyColors val="0"/>
        <c:ser>
          <c:idx val="0"/>
          <c:order val="0"/>
          <c:tx>
            <c:strRef>
              <c:f>'Team Budgets'!$F$2</c:f>
              <c:strCache>
                <c:ptCount val="1"/>
                <c:pt idx="0">
                  <c:v>Total Spent</c:v>
                </c:pt>
              </c:strCache>
            </c:strRef>
          </c:tx>
          <c:spPr>
            <a:solidFill>
              <a:srgbClr val="4F81BD"/>
            </a:solidFill>
            <a:ln w="9360">
              <a:solidFill>
                <a:srgbClr val="F9F9F9"/>
              </a:solidFill>
              <a:round/>
            </a:ln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wrap="none"/>
              <a:lstStyle/>
              <a:p>
                <a:pPr>
                  <a:defRPr sz="1000" b="0" strike="noStrike" spc="-1">
                    <a:latin typeface="Arial"/>
                  </a:defRPr>
                </a:pPr>
                <a:endParaRPr lang="en-US"/>
              </a:p>
            </c:txPr>
            <c:showLegendKey val="0"/>
            <c:showVal val="0"/>
            <c:showCatName val="0"/>
            <c:showSerName val="0"/>
            <c:showPercent val="0"/>
            <c:showBubbleSize val="1"/>
            <c:separator> </c:separator>
            <c:showLeaderLines val="0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'Team Budgets'!$A$3:$A$10</c:f>
              <c:strCache>
                <c:ptCount val="8"/>
                <c:pt idx="0">
                  <c:v>Hyderabad Houston Kingsmen</c:v>
                </c:pt>
                <c:pt idx="1">
                  <c:v>Islamabad United</c:v>
                </c:pt>
                <c:pt idx="2">
                  <c:v>Karachi Kings</c:v>
                </c:pt>
                <c:pt idx="3">
                  <c:v>Lahore Qalandars</c:v>
                </c:pt>
                <c:pt idx="4">
                  <c:v>Peshawar Zalmi</c:v>
                </c:pt>
                <c:pt idx="5">
                  <c:v>Quetta Gladiators</c:v>
                </c:pt>
                <c:pt idx="6">
                  <c:v>Rawalpindi</c:v>
                </c:pt>
                <c:pt idx="7">
                  <c:v>Sialkot Stallionz</c:v>
                </c:pt>
              </c:strCache>
            </c:strRef>
          </c:cat>
          <c:val>
            <c:numRef>
              <c:f>'Team Budgets'!$F$3:$F$10</c:f>
              <c:numCache>
                <c:formatCode>#,##0.000</c:formatCode>
                <c:ptCount val="8"/>
                <c:pt idx="0">
                  <c:v>33.700000000000003</c:v>
                </c:pt>
                <c:pt idx="1">
                  <c:v>45.05</c:v>
                </c:pt>
                <c:pt idx="2">
                  <c:v>50.34</c:v>
                </c:pt>
                <c:pt idx="3">
                  <c:v>42.45</c:v>
                </c:pt>
                <c:pt idx="4">
                  <c:v>32.024999999999999</c:v>
                </c:pt>
                <c:pt idx="5">
                  <c:v>40.524999999999999</c:v>
                </c:pt>
                <c:pt idx="6">
                  <c:v>45.424999999999997</c:v>
                </c:pt>
                <c:pt idx="7">
                  <c:v>48.185000000000002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3962-489A-B490-96AEFE76491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25853604"/>
        <c:axId val="43913992"/>
      </c:barChart>
      <c:catAx>
        <c:axId val="25853604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sz="1000" b="0" strike="noStrike" spc="-1">
                <a:solidFill>
                  <a:srgbClr val="000000"/>
                </a:solidFill>
                <a:latin typeface="Calibri"/>
              </a:defRPr>
            </a:pPr>
            <a:endParaRPr lang="en-US"/>
          </a:p>
        </c:txPr>
        <c:crossAx val="43913992"/>
        <c:crosses val="autoZero"/>
        <c:auto val="1"/>
        <c:lblAlgn val="ctr"/>
        <c:lblOffset val="100"/>
        <c:noMultiLvlLbl val="0"/>
      </c:catAx>
      <c:valAx>
        <c:axId val="43913992"/>
        <c:scaling>
          <c:orientation val="minMax"/>
        </c:scaling>
        <c:delete val="0"/>
        <c:axPos val="l"/>
        <c:majorGridlines>
          <c:spPr>
            <a:ln w="9360">
              <a:solidFill>
                <a:srgbClr val="878787"/>
              </a:solidFill>
              <a:round/>
            </a:ln>
          </c:spPr>
        </c:majorGridlines>
        <c:title>
          <c:tx>
            <c:rich>
              <a:bodyPr rot="-5400000"/>
              <a:lstStyle/>
              <a:p>
                <a:pPr>
                  <a:defRPr sz="1000" b="1" strike="noStrike" spc="-1">
                    <a:solidFill>
                      <a:srgbClr val="000000"/>
                    </a:solidFill>
                    <a:latin typeface="Calibri"/>
                  </a:defRPr>
                </a:pPr>
                <a:r>
                  <a:rPr lang="en-US" sz="1000" b="1" strike="noStrike" spc="-1">
                    <a:solidFill>
                      <a:srgbClr val="000000"/>
                    </a:solidFill>
                    <a:latin typeface="Calibri"/>
                  </a:rPr>
                  <a:t>PKR Crore</a:t>
                </a:r>
              </a:p>
            </c:rich>
          </c:tx>
          <c:overlay val="0"/>
          <c:spPr>
            <a:noFill/>
            <a:ln w="0">
              <a:noFill/>
            </a:ln>
          </c:spPr>
        </c:title>
        <c:numFmt formatCode="#,##0.000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sz="1000" b="0" strike="noStrike" spc="-1">
                <a:solidFill>
                  <a:srgbClr val="000000"/>
                </a:solidFill>
                <a:latin typeface="Calibri"/>
              </a:defRPr>
            </a:pPr>
            <a:endParaRPr lang="en-US"/>
          </a:p>
        </c:txPr>
        <c:crossAx val="25853604"/>
        <c:crosses val="autoZero"/>
        <c:crossBetween val="between"/>
      </c:valAx>
      <c:spPr>
        <a:noFill/>
        <a:ln w="0">
          <a:noFill/>
        </a:ln>
      </c:spPr>
    </c:plotArea>
    <c:legend>
      <c:legendPos val="r"/>
      <c:overlay val="0"/>
      <c:spPr>
        <a:noFill/>
        <a:ln w="0">
          <a:noFill/>
        </a:ln>
      </c:spPr>
      <c:txPr>
        <a:bodyPr/>
        <a:lstStyle/>
        <a:p>
          <a:pPr>
            <a:defRPr sz="1000" b="0" strike="noStrike" spc="-1">
              <a:solidFill>
                <a:srgbClr val="000000"/>
              </a:solidFill>
              <a:latin typeface="Calibri"/>
            </a:defRPr>
          </a:pPr>
          <a:endParaRPr lang="en-US"/>
        </a:p>
      </c:txPr>
    </c:legend>
    <c:plotVisOnly val="1"/>
    <c:dispBlanksAs val="gap"/>
    <c:showDLblsOverMax val="1"/>
  </c:chart>
  <c:spPr>
    <a:solidFill>
      <a:srgbClr val="FFFFFF"/>
    </a:solidFill>
    <a:ln w="9360">
      <a:solidFill>
        <a:srgbClr val="D9D9D9"/>
      </a:solidFill>
      <a:round/>
    </a:ln>
  </c:sp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c:style val="2"/>
  <c:chart>
    <c:title>
      <c:tx>
        <c:rich>
          <a:bodyPr rot="0"/>
          <a:lstStyle/>
          <a:p>
            <a:pPr>
              <a:defRPr sz="1800" b="1" strike="noStrike" spc="-1">
                <a:solidFill>
                  <a:srgbClr val="000000"/>
                </a:solidFill>
                <a:latin typeface="Calibri"/>
              </a:defRPr>
            </a:pPr>
            <a:r>
              <a:rPr lang="en-US" sz="1800" b="1" strike="noStrike" spc="-1">
                <a:solidFill>
                  <a:srgbClr val="000000"/>
                </a:solidFill>
                <a:latin typeface="Calibri"/>
              </a:rPr>
              <a:t>Top 10 Most Expensive Players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layout/>
      <c:barChart>
        <c:barDir val="bar"/>
        <c:grouping val="clustered"/>
        <c:varyColors val="0"/>
        <c:ser>
          <c:idx val="0"/>
          <c:order val="0"/>
          <c:tx>
            <c:strRef>
              <c:f>Analytics!$E$4</c:f>
              <c:strCache>
                <c:ptCount val="1"/>
                <c:pt idx="0">
                  <c:v>Sale Price (Cr)</c:v>
                </c:pt>
              </c:strCache>
            </c:strRef>
          </c:tx>
          <c:spPr>
            <a:solidFill>
              <a:srgbClr val="4F81BD"/>
            </a:solidFill>
            <a:ln w="9360">
              <a:solidFill>
                <a:srgbClr val="F9F9F9"/>
              </a:solidFill>
              <a:round/>
            </a:ln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wrap="none"/>
              <a:lstStyle/>
              <a:p>
                <a:pPr>
                  <a:defRPr sz="1000" b="0" strike="noStrike" spc="-1">
                    <a:latin typeface="Arial"/>
                  </a:defRPr>
                </a:pPr>
                <a:endParaRPr lang="en-US"/>
              </a:p>
            </c:txPr>
            <c:showLegendKey val="0"/>
            <c:showVal val="0"/>
            <c:showCatName val="0"/>
            <c:showSerName val="0"/>
            <c:showPercent val="0"/>
            <c:showBubbleSize val="1"/>
            <c:separator> </c:separator>
            <c:showLeaderLines val="0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Analytics!$B$5:$B$14</c:f>
              <c:strCache>
                <c:ptCount val="10"/>
                <c:pt idx="0">
                  <c:v>Steve Smith (direct signing)</c:v>
                </c:pt>
                <c:pt idx="1">
                  <c:v>Saim Ayub (retained)</c:v>
                </c:pt>
                <c:pt idx="2">
                  <c:v>Naseem Shah</c:v>
                </c:pt>
                <c:pt idx="3">
                  <c:v>Faheem Ashraf</c:v>
                </c:pt>
                <c:pt idx="4">
                  <c:v>Daryl Mitchell</c:v>
                </c:pt>
                <c:pt idx="5">
                  <c:v>Fakhar Zaman</c:v>
                </c:pt>
                <c:pt idx="6">
                  <c:v>David Warner</c:v>
                </c:pt>
                <c:pt idx="7">
                  <c:v>Haris Rauf</c:v>
                </c:pt>
                <c:pt idx="8">
                  <c:v>Mark Chapman</c:v>
                </c:pt>
                <c:pt idx="9">
                  <c:v>Abrar Ahmad (retained)</c:v>
                </c:pt>
              </c:strCache>
            </c:strRef>
          </c:cat>
          <c:val>
            <c:numRef>
              <c:f>Analytics!$E$5:$E$14</c:f>
              <c:numCache>
                <c:formatCode>#,##0.000</c:formatCode>
                <c:ptCount val="10"/>
                <c:pt idx="0">
                  <c:v>14</c:v>
                </c:pt>
                <c:pt idx="1">
                  <c:v>12.6</c:v>
                </c:pt>
                <c:pt idx="2">
                  <c:v>8.65</c:v>
                </c:pt>
                <c:pt idx="3">
                  <c:v>8.5</c:v>
                </c:pt>
                <c:pt idx="4">
                  <c:v>8.0500000000000007</c:v>
                </c:pt>
                <c:pt idx="5">
                  <c:v>7.95</c:v>
                </c:pt>
                <c:pt idx="6">
                  <c:v>7.9</c:v>
                </c:pt>
                <c:pt idx="7">
                  <c:v>7.6</c:v>
                </c:pt>
                <c:pt idx="8">
                  <c:v>7</c:v>
                </c:pt>
                <c:pt idx="9">
                  <c:v>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F39F-4976-BE5B-C6EE9871D13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58513383"/>
        <c:axId val="926366"/>
      </c:barChart>
      <c:catAx>
        <c:axId val="58513383"/>
        <c:scaling>
          <c:orientation val="minMax"/>
        </c:scaling>
        <c:delete val="0"/>
        <c:axPos val="l"/>
        <c:title>
          <c:tx>
            <c:rich>
              <a:bodyPr rot="-5400000"/>
              <a:lstStyle/>
              <a:p>
                <a:pPr>
                  <a:defRPr sz="1000" b="1" strike="noStrike" spc="-1">
                    <a:solidFill>
                      <a:srgbClr val="000000"/>
                    </a:solidFill>
                    <a:latin typeface="Calibri"/>
                  </a:defRPr>
                </a:pPr>
                <a:r>
                  <a:rPr lang="en-US" sz="1000" b="1" strike="noStrike" spc="-1">
                    <a:solidFill>
                      <a:srgbClr val="000000"/>
                    </a:solidFill>
                    <a:latin typeface="Calibri"/>
                  </a:rPr>
                  <a:t>PKR Crore</a:t>
                </a:r>
              </a:p>
            </c:rich>
          </c:tx>
          <c:overlay val="0"/>
          <c:spPr>
            <a:noFill/>
            <a:ln w="0">
              <a:noFill/>
            </a:ln>
          </c:spPr>
        </c:title>
        <c:numFmt formatCode="General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sz="1000" b="0" strike="noStrike" spc="-1">
                <a:solidFill>
                  <a:srgbClr val="000000"/>
                </a:solidFill>
                <a:latin typeface="Calibri"/>
              </a:defRPr>
            </a:pPr>
            <a:endParaRPr lang="en-US"/>
          </a:p>
        </c:txPr>
        <c:crossAx val="926366"/>
        <c:crosses val="autoZero"/>
        <c:auto val="1"/>
        <c:lblAlgn val="ctr"/>
        <c:lblOffset val="100"/>
        <c:noMultiLvlLbl val="0"/>
      </c:catAx>
      <c:valAx>
        <c:axId val="926366"/>
        <c:scaling>
          <c:orientation val="minMax"/>
        </c:scaling>
        <c:delete val="0"/>
        <c:axPos val="b"/>
        <c:majorGridlines>
          <c:spPr>
            <a:ln w="9360">
              <a:solidFill>
                <a:srgbClr val="878787"/>
              </a:solidFill>
              <a:round/>
            </a:ln>
          </c:spPr>
        </c:majorGridlines>
        <c:numFmt formatCode="#,##0.000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sz="1000" b="0" strike="noStrike" spc="-1">
                <a:solidFill>
                  <a:srgbClr val="000000"/>
                </a:solidFill>
                <a:latin typeface="Calibri"/>
              </a:defRPr>
            </a:pPr>
            <a:endParaRPr lang="en-US"/>
          </a:p>
        </c:txPr>
        <c:crossAx val="58513383"/>
        <c:crosses val="autoZero"/>
        <c:crossBetween val="between"/>
      </c:valAx>
      <c:spPr>
        <a:noFill/>
        <a:ln w="0">
          <a:noFill/>
        </a:ln>
      </c:spPr>
    </c:plotArea>
    <c:legend>
      <c:legendPos val="r"/>
      <c:overlay val="0"/>
      <c:spPr>
        <a:noFill/>
        <a:ln w="0">
          <a:noFill/>
        </a:ln>
      </c:spPr>
      <c:txPr>
        <a:bodyPr/>
        <a:lstStyle/>
        <a:p>
          <a:pPr>
            <a:defRPr sz="1000" b="0" strike="noStrike" spc="-1">
              <a:solidFill>
                <a:srgbClr val="000000"/>
              </a:solidFill>
              <a:latin typeface="Calibri"/>
            </a:defRPr>
          </a:pPr>
          <a:endParaRPr lang="en-US"/>
        </a:p>
      </c:txPr>
    </c:legend>
    <c:plotVisOnly val="1"/>
    <c:dispBlanksAs val="gap"/>
    <c:showDLblsOverMax val="1"/>
  </c:chart>
  <c:spPr>
    <a:solidFill>
      <a:srgbClr val="FFFFFF"/>
    </a:solidFill>
    <a:ln w="9360">
      <a:solidFill>
        <a:srgbClr val="D9D9D9"/>
      </a:solidFill>
      <a:round/>
    </a:ln>
  </c:sp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c:style val="2"/>
  <c:chart>
    <c:title>
      <c:tx>
        <c:rich>
          <a:bodyPr rot="0"/>
          <a:lstStyle/>
          <a:p>
            <a:pPr>
              <a:defRPr sz="1800" b="1" strike="noStrike" spc="-1">
                <a:solidFill>
                  <a:srgbClr val="000000"/>
                </a:solidFill>
                <a:latin typeface="Calibri"/>
              </a:defRPr>
            </a:pPr>
            <a:r>
              <a:rPr lang="en-US" sz="1800" b="1" strike="noStrike" spc="-1">
                <a:solidFill>
                  <a:srgbClr val="000000"/>
                </a:solidFill>
                <a:latin typeface="Calibri"/>
              </a:rPr>
              <a:t>Local vs Overseas Spend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layout/>
      <c:pieChart>
        <c:varyColors val="1"/>
        <c:ser>
          <c:idx val="0"/>
          <c:order val="0"/>
          <c:tx>
            <c:strRef>
              <c:f>Analytics!$C$51</c:f>
              <c:strCache>
                <c:ptCount val="1"/>
                <c:pt idx="0">
                  <c:v>Total Spend (Cr)</c:v>
                </c:pt>
              </c:strCache>
            </c:strRef>
          </c:tx>
          <c:spPr>
            <a:solidFill>
              <a:srgbClr val="4F81BD"/>
            </a:solidFill>
            <a:ln w="9360">
              <a:solidFill>
                <a:srgbClr val="F9F9F9"/>
              </a:solidFill>
              <a:round/>
            </a:ln>
          </c:spPr>
          <c:dPt>
            <c:idx val="0"/>
            <c:bubble3D val="0"/>
            <c:extLst>
              <c:ext xmlns:c16="http://schemas.microsoft.com/office/drawing/2014/chart" uri="{C3380CC4-5D6E-409C-BE32-E72D297353CC}">
                <c16:uniqueId val="{00000001-0649-4E5C-A6F5-6F078FB4CED1}"/>
              </c:ext>
            </c:extLst>
          </c:dPt>
          <c:dPt>
            <c:idx val="1"/>
            <c:bubble3D val="0"/>
            <c:spPr>
              <a:solidFill>
                <a:srgbClr val="C0504D"/>
              </a:solidFill>
              <a:ln w="9360">
                <a:solidFill>
                  <a:srgbClr val="F9F9F9"/>
                </a:solidFill>
                <a:round/>
              </a:ln>
            </c:spPr>
            <c:extLst>
              <c:ext xmlns:c16="http://schemas.microsoft.com/office/drawing/2014/chart" uri="{C3380CC4-5D6E-409C-BE32-E72D297353CC}">
                <c16:uniqueId val="{00000003-0649-4E5C-A6F5-6F078FB4CED1}"/>
              </c:ext>
            </c:extLst>
          </c:dPt>
          <c:dLbls>
            <c:dLbl>
              <c:idx val="0"/>
              <c:spPr/>
              <c:txPr>
                <a:bodyPr wrap="none"/>
                <a:lstStyle/>
                <a:p>
                  <a:pPr>
                    <a:defRPr sz="1000" b="0" strike="noStrike" spc="-1">
                      <a:latin typeface="Arial"/>
                    </a:defRPr>
                  </a:pPr>
                  <a:endParaRPr lang="en-US"/>
                </a:p>
              </c:txPr>
              <c:showLegendKey val="0"/>
              <c:showVal val="0"/>
              <c:showCatName val="0"/>
              <c:showSerName val="0"/>
              <c:showPercent val="0"/>
              <c:showBubbleSiz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1-0649-4E5C-A6F5-6F078FB4CED1}"/>
                </c:ext>
              </c:extLst>
            </c:dLbl>
            <c:dLbl>
              <c:idx val="1"/>
              <c:spPr/>
              <c:txPr>
                <a:bodyPr wrap="none"/>
                <a:lstStyle/>
                <a:p>
                  <a:pPr>
                    <a:defRPr sz="1000" b="0" strike="noStrike" spc="-1">
                      <a:latin typeface="Arial"/>
                    </a:defRPr>
                  </a:pPr>
                  <a:endParaRPr lang="en-US"/>
                </a:p>
              </c:txPr>
              <c:showLegendKey val="0"/>
              <c:showVal val="0"/>
              <c:showCatName val="0"/>
              <c:showSerName val="0"/>
              <c:showPercent val="0"/>
              <c:showBubbleSiz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3-0649-4E5C-A6F5-6F078FB4CED1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wrap="none"/>
              <a:lstStyle/>
              <a:p>
                <a:pPr>
                  <a:defRPr sz="1000" b="0" strike="noStrike" spc="-1">
                    <a:latin typeface="Arial"/>
                  </a:defRPr>
                </a:pPr>
                <a:endParaRPr lang="en-US"/>
              </a:p>
            </c:txPr>
            <c:showLegendKey val="0"/>
            <c:showVal val="0"/>
            <c:showCatName val="0"/>
            <c:showSerName val="0"/>
            <c:showPercent val="0"/>
            <c:showBubbleSize val="1"/>
            <c:separator> </c:separator>
            <c:showLeaderLines val="1"/>
            <c:extLst>
              <c:ext xmlns:c15="http://schemas.microsoft.com/office/drawing/2012/chart" uri="{CE6537A1-D6FC-4f65-9D91-7224C49458BB}"/>
            </c:extLst>
          </c:dLbls>
          <c:cat>
            <c:strRef>
              <c:f>Analytics!$A$52:$A$53</c:f>
              <c:strCache>
                <c:ptCount val="2"/>
                <c:pt idx="0">
                  <c:v>Local</c:v>
                </c:pt>
                <c:pt idx="1">
                  <c:v>Overseas</c:v>
                </c:pt>
              </c:strCache>
            </c:strRef>
          </c:cat>
          <c:val>
            <c:numRef>
              <c:f>Analytics!$C$52:$C$53</c:f>
              <c:numCache>
                <c:formatCode>#,##0.00</c:formatCode>
                <c:ptCount val="2"/>
                <c:pt idx="0">
                  <c:v>125.85</c:v>
                </c:pt>
                <c:pt idx="1">
                  <c:v>95.45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4-0649-4E5C-A6F5-6F078FB4CED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  <c:firstSliceAng val="0"/>
      </c:pieChart>
      <c:spPr>
        <a:noFill/>
        <a:ln w="0">
          <a:noFill/>
        </a:ln>
      </c:spPr>
    </c:plotArea>
    <c:legend>
      <c:legendPos val="r"/>
      <c:overlay val="0"/>
      <c:spPr>
        <a:noFill/>
        <a:ln w="0">
          <a:noFill/>
        </a:ln>
      </c:spPr>
      <c:txPr>
        <a:bodyPr/>
        <a:lstStyle/>
        <a:p>
          <a:pPr>
            <a:defRPr sz="1000" b="0" strike="noStrike" spc="-1">
              <a:solidFill>
                <a:srgbClr val="000000"/>
              </a:solidFill>
              <a:latin typeface="Calibri"/>
            </a:defRPr>
          </a:pPr>
          <a:endParaRPr lang="en-US"/>
        </a:p>
      </c:txPr>
    </c:legend>
    <c:plotVisOnly val="1"/>
    <c:dispBlanksAs val="gap"/>
    <c:showDLblsOverMax val="1"/>
  </c:chart>
  <c:spPr>
    <a:solidFill>
      <a:srgbClr val="FFFFFF"/>
    </a:solidFill>
    <a:ln w="9360">
      <a:solidFill>
        <a:srgbClr val="D9D9D9"/>
      </a:solidFill>
      <a:round/>
    </a:ln>
  </c:spPr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2" Type="http://schemas.openxmlformats.org/officeDocument/2006/relationships/chart" Target="../charts/chart3.xml"/><Relationship Id="rId1" Type="http://schemas.openxmlformats.org/officeDocument/2006/relationships/chart" Target="../charts/chart2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238127</xdr:colOff>
      <xdr:row>13</xdr:row>
      <xdr:rowOff>173182</xdr:rowOff>
    </xdr:from>
    <xdr:to>
      <xdr:col>12</xdr:col>
      <xdr:colOff>242456</xdr:colOff>
      <xdr:row>45</xdr:row>
      <xdr:rowOff>142875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E2EC081E-6DBB-4448-AD20-BB4063A74D4C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7</xdr:col>
      <xdr:colOff>0</xdr:colOff>
      <xdr:row>2</xdr:row>
      <xdr:rowOff>0</xdr:rowOff>
    </xdr:from>
    <xdr:to>
      <xdr:col>18</xdr:col>
      <xdr:colOff>473040</xdr:colOff>
      <xdr:row>19</xdr:row>
      <xdr:rowOff>164880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00000000-0008-0000-0300-000002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 editAs="oneCell">
    <xdr:from>
      <xdr:col>7</xdr:col>
      <xdr:colOff>0</xdr:colOff>
      <xdr:row>46</xdr:row>
      <xdr:rowOff>16711</xdr:rowOff>
    </xdr:from>
    <xdr:to>
      <xdr:col>15</xdr:col>
      <xdr:colOff>147600</xdr:colOff>
      <xdr:row>64</xdr:row>
      <xdr:rowOff>142040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00000000-0008-0000-0300-000003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</a:majorFont>
      <a:minorFont>
        <a:latin typeface="Calibri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106"/>
  <sheetViews>
    <sheetView tabSelected="1" zoomScale="62" zoomScaleNormal="86" workbookViewId="0">
      <pane ySplit="2" topLeftCell="A3" activePane="bottomLeft" state="frozen"/>
      <selection pane="bottomLeft" sqref="A1:I1"/>
    </sheetView>
  </sheetViews>
  <sheetFormatPr defaultColWidth="8.6328125" defaultRowHeight="14.5" x14ac:dyDescent="0.35"/>
  <cols>
    <col min="1" max="1" width="5" customWidth="1"/>
    <col min="2" max="2" width="26" customWidth="1"/>
    <col min="3" max="3" width="19" customWidth="1"/>
    <col min="4" max="4" width="31.6328125" customWidth="1"/>
    <col min="5" max="5" width="20.90625" customWidth="1"/>
    <col min="6" max="6" width="19.90625" customWidth="1"/>
    <col min="7" max="7" width="18.6328125" customWidth="1"/>
    <col min="8" max="8" width="21" customWidth="1"/>
    <col min="9" max="9" width="25.81640625" customWidth="1"/>
  </cols>
  <sheetData>
    <row r="1" spans="1:9" ht="37.5" customHeight="1" x14ac:dyDescent="0.35">
      <c r="A1" s="69" t="s">
        <v>0</v>
      </c>
      <c r="B1" s="66"/>
      <c r="C1" s="66"/>
      <c r="D1" s="66"/>
      <c r="E1" s="66"/>
      <c r="F1" s="66"/>
      <c r="G1" s="66"/>
      <c r="H1" s="66"/>
      <c r="I1" s="66"/>
    </row>
    <row r="2" spans="1:9" ht="30" customHeight="1" x14ac:dyDescent="0.35">
      <c r="A2" s="61" t="s">
        <v>1</v>
      </c>
      <c r="B2" s="61" t="s">
        <v>2</v>
      </c>
      <c r="C2" s="61" t="s">
        <v>3</v>
      </c>
      <c r="D2" s="61" t="s">
        <v>4</v>
      </c>
      <c r="E2" s="61" t="s">
        <v>5</v>
      </c>
      <c r="F2" s="61" t="s">
        <v>6</v>
      </c>
      <c r="G2" s="61" t="s">
        <v>7</v>
      </c>
      <c r="H2" s="61" t="s">
        <v>8</v>
      </c>
      <c r="I2" s="61" t="s">
        <v>9</v>
      </c>
    </row>
    <row r="3" spans="1:9" ht="18.75" customHeight="1" x14ac:dyDescent="0.35">
      <c r="A3" s="1">
        <v>1</v>
      </c>
      <c r="B3" s="2" t="s">
        <v>10</v>
      </c>
      <c r="C3" s="3" t="s">
        <v>11</v>
      </c>
      <c r="D3" s="4" t="s">
        <v>12</v>
      </c>
      <c r="E3" s="5">
        <v>4.2</v>
      </c>
      <c r="F3" s="6">
        <v>8.5</v>
      </c>
      <c r="G3" s="7">
        <f t="shared" ref="G3:G34" si="0">F3-E3</f>
        <v>4.3</v>
      </c>
      <c r="H3" s="8">
        <f t="shared" ref="H3:H34" si="1">IFERROR(F3/E3,"—")</f>
        <v>2.0238095238095237</v>
      </c>
      <c r="I3" s="9" t="s">
        <v>13</v>
      </c>
    </row>
    <row r="4" spans="1:9" ht="18.75" customHeight="1" x14ac:dyDescent="0.35">
      <c r="A4" s="10">
        <v>2</v>
      </c>
      <c r="B4" s="11" t="s">
        <v>14</v>
      </c>
      <c r="C4" s="12" t="s">
        <v>15</v>
      </c>
      <c r="D4" s="13" t="s">
        <v>16</v>
      </c>
      <c r="E4" s="14">
        <v>4.2</v>
      </c>
      <c r="F4" s="15">
        <v>7.9</v>
      </c>
      <c r="G4" s="16">
        <f t="shared" si="0"/>
        <v>3.7</v>
      </c>
      <c r="H4" s="17">
        <f t="shared" si="1"/>
        <v>1.8809523809523809</v>
      </c>
      <c r="I4" s="18" t="s">
        <v>17</v>
      </c>
    </row>
    <row r="5" spans="1:9" ht="18.75" customHeight="1" x14ac:dyDescent="0.35">
      <c r="A5" s="1">
        <v>3</v>
      </c>
      <c r="B5" s="2" t="s">
        <v>18</v>
      </c>
      <c r="C5" s="3" t="s">
        <v>19</v>
      </c>
      <c r="D5" s="19" t="s">
        <v>20</v>
      </c>
      <c r="E5" s="5">
        <v>4.2</v>
      </c>
      <c r="F5" s="6">
        <v>5.55</v>
      </c>
      <c r="G5" s="7">
        <f t="shared" si="0"/>
        <v>1.3499999999999996</v>
      </c>
      <c r="H5" s="8">
        <f t="shared" si="1"/>
        <v>1.3214285714285714</v>
      </c>
      <c r="I5" s="20" t="s">
        <v>17</v>
      </c>
    </row>
    <row r="6" spans="1:9" ht="18.75" customHeight="1" x14ac:dyDescent="0.35">
      <c r="A6" s="10">
        <v>4</v>
      </c>
      <c r="B6" s="11" t="s">
        <v>21</v>
      </c>
      <c r="C6" s="12" t="s">
        <v>11</v>
      </c>
      <c r="D6" s="21" t="s">
        <v>22</v>
      </c>
      <c r="E6" s="14">
        <v>0.6</v>
      </c>
      <c r="F6" s="15">
        <v>0.6</v>
      </c>
      <c r="G6" s="16">
        <f t="shared" si="0"/>
        <v>0</v>
      </c>
      <c r="H6" s="17">
        <f t="shared" si="1"/>
        <v>1</v>
      </c>
      <c r="I6" s="22" t="s">
        <v>13</v>
      </c>
    </row>
    <row r="7" spans="1:9" ht="18.75" customHeight="1" x14ac:dyDescent="0.35">
      <c r="A7" s="1">
        <v>5</v>
      </c>
      <c r="B7" s="2" t="s">
        <v>23</v>
      </c>
      <c r="C7" s="3" t="s">
        <v>11</v>
      </c>
      <c r="D7" s="23" t="s">
        <v>24</v>
      </c>
      <c r="E7" s="5">
        <v>1.1000000000000001</v>
      </c>
      <c r="F7" s="6">
        <v>2.15</v>
      </c>
      <c r="G7" s="7">
        <f t="shared" si="0"/>
        <v>1.0499999999999998</v>
      </c>
      <c r="H7" s="8">
        <f t="shared" si="1"/>
        <v>1.9545454545454544</v>
      </c>
      <c r="I7" s="9" t="s">
        <v>13</v>
      </c>
    </row>
    <row r="8" spans="1:9" ht="18.75" customHeight="1" x14ac:dyDescent="0.35">
      <c r="A8" s="10">
        <v>6</v>
      </c>
      <c r="B8" s="11" t="s">
        <v>25</v>
      </c>
      <c r="C8" s="12" t="s">
        <v>11</v>
      </c>
      <c r="D8" s="24" t="s">
        <v>26</v>
      </c>
      <c r="E8" s="14">
        <v>4.2</v>
      </c>
      <c r="F8" s="15">
        <v>7.6</v>
      </c>
      <c r="G8" s="16">
        <f t="shared" si="0"/>
        <v>3.3999999999999995</v>
      </c>
      <c r="H8" s="17">
        <f t="shared" si="1"/>
        <v>1.8095238095238093</v>
      </c>
      <c r="I8" s="22" t="s">
        <v>13</v>
      </c>
    </row>
    <row r="9" spans="1:9" ht="18.75" customHeight="1" x14ac:dyDescent="0.35">
      <c r="A9" s="1">
        <v>7</v>
      </c>
      <c r="B9" s="2" t="s">
        <v>27</v>
      </c>
      <c r="C9" s="3" t="s">
        <v>11</v>
      </c>
      <c r="D9" s="25" t="s">
        <v>28</v>
      </c>
      <c r="E9" s="5">
        <v>4.2</v>
      </c>
      <c r="F9" s="6">
        <v>8.65</v>
      </c>
      <c r="G9" s="7">
        <f t="shared" si="0"/>
        <v>4.45</v>
      </c>
      <c r="H9" s="8">
        <f t="shared" si="1"/>
        <v>2.0595238095238093</v>
      </c>
      <c r="I9" s="9" t="s">
        <v>13</v>
      </c>
    </row>
    <row r="10" spans="1:9" ht="18.75" customHeight="1" x14ac:dyDescent="0.35">
      <c r="A10" s="10">
        <v>8</v>
      </c>
      <c r="B10" s="11" t="s">
        <v>29</v>
      </c>
      <c r="C10" s="12" t="s">
        <v>11</v>
      </c>
      <c r="D10" s="13" t="s">
        <v>16</v>
      </c>
      <c r="E10" s="14">
        <v>1.1000000000000001</v>
      </c>
      <c r="F10" s="15">
        <v>3.65</v>
      </c>
      <c r="G10" s="16">
        <f t="shared" si="0"/>
        <v>2.5499999999999998</v>
      </c>
      <c r="H10" s="17">
        <f t="shared" si="1"/>
        <v>3.3181818181818179</v>
      </c>
      <c r="I10" s="22" t="s">
        <v>13</v>
      </c>
    </row>
    <row r="11" spans="1:9" ht="18.75" customHeight="1" x14ac:dyDescent="0.35">
      <c r="A11" s="1">
        <v>9</v>
      </c>
      <c r="B11" s="2" t="s">
        <v>30</v>
      </c>
      <c r="C11" s="3" t="s">
        <v>11</v>
      </c>
      <c r="D11" s="21" t="s">
        <v>22</v>
      </c>
      <c r="E11" s="5">
        <v>4.2</v>
      </c>
      <c r="F11" s="6">
        <v>5.7</v>
      </c>
      <c r="G11" s="7">
        <f t="shared" si="0"/>
        <v>1.5</v>
      </c>
      <c r="H11" s="8">
        <f t="shared" si="1"/>
        <v>1.3571428571428572</v>
      </c>
      <c r="I11" s="9" t="s">
        <v>13</v>
      </c>
    </row>
    <row r="12" spans="1:9" ht="18.75" customHeight="1" x14ac:dyDescent="0.35">
      <c r="A12" s="10">
        <v>10</v>
      </c>
      <c r="B12" s="11" t="s">
        <v>31</v>
      </c>
      <c r="C12" s="12" t="s">
        <v>32</v>
      </c>
      <c r="D12" s="25" t="s">
        <v>28</v>
      </c>
      <c r="E12" s="14">
        <v>1.1000000000000001</v>
      </c>
      <c r="F12" s="15">
        <v>3</v>
      </c>
      <c r="G12" s="16">
        <f t="shared" si="0"/>
        <v>1.9</v>
      </c>
      <c r="H12" s="17">
        <f t="shared" si="1"/>
        <v>2.7272727272727271</v>
      </c>
      <c r="I12" s="18" t="s">
        <v>17</v>
      </c>
    </row>
    <row r="13" spans="1:9" ht="18.75" customHeight="1" x14ac:dyDescent="0.35">
      <c r="A13" s="1">
        <v>11</v>
      </c>
      <c r="B13" s="2" t="s">
        <v>33</v>
      </c>
      <c r="C13" s="3" t="s">
        <v>11</v>
      </c>
      <c r="D13" s="4" t="s">
        <v>12</v>
      </c>
      <c r="E13" s="5">
        <v>0.6</v>
      </c>
      <c r="F13" s="6">
        <v>1.2</v>
      </c>
      <c r="G13" s="7">
        <f t="shared" si="0"/>
        <v>0.6</v>
      </c>
      <c r="H13" s="8">
        <f t="shared" si="1"/>
        <v>2</v>
      </c>
      <c r="I13" s="9" t="s">
        <v>13</v>
      </c>
    </row>
    <row r="14" spans="1:9" ht="18.75" customHeight="1" x14ac:dyDescent="0.35">
      <c r="A14" s="10">
        <v>12</v>
      </c>
      <c r="B14" s="11" t="s">
        <v>34</v>
      </c>
      <c r="C14" s="12" t="s">
        <v>11</v>
      </c>
      <c r="D14" s="19" t="s">
        <v>20</v>
      </c>
      <c r="E14" s="14">
        <v>1.1000000000000001</v>
      </c>
      <c r="F14" s="15">
        <v>1.25</v>
      </c>
      <c r="G14" s="16">
        <f t="shared" si="0"/>
        <v>0.14999999999999991</v>
      </c>
      <c r="H14" s="17">
        <f t="shared" si="1"/>
        <v>1.1363636363636362</v>
      </c>
      <c r="I14" s="22" t="s">
        <v>13</v>
      </c>
    </row>
    <row r="15" spans="1:9" ht="18.75" customHeight="1" x14ac:dyDescent="0.35">
      <c r="A15" s="1">
        <v>13</v>
      </c>
      <c r="B15" s="2" t="s">
        <v>35</v>
      </c>
      <c r="C15" s="3" t="s">
        <v>11</v>
      </c>
      <c r="D15" s="26" t="s">
        <v>36</v>
      </c>
      <c r="E15" s="5">
        <v>1.1000000000000001</v>
      </c>
      <c r="F15" s="6">
        <v>1.9</v>
      </c>
      <c r="G15" s="7">
        <f t="shared" si="0"/>
        <v>0.79999999999999982</v>
      </c>
      <c r="H15" s="8">
        <f t="shared" si="1"/>
        <v>1.7272727272727271</v>
      </c>
      <c r="I15" s="9" t="s">
        <v>13</v>
      </c>
    </row>
    <row r="16" spans="1:9" ht="18.75" customHeight="1" x14ac:dyDescent="0.35">
      <c r="A16" s="10">
        <v>14</v>
      </c>
      <c r="B16" s="11" t="s">
        <v>37</v>
      </c>
      <c r="C16" s="12" t="s">
        <v>11</v>
      </c>
      <c r="D16" s="19" t="s">
        <v>20</v>
      </c>
      <c r="E16" s="14">
        <v>1.1000000000000001</v>
      </c>
      <c r="F16" s="15">
        <v>1.1000000000000001</v>
      </c>
      <c r="G16" s="16">
        <f t="shared" si="0"/>
        <v>0</v>
      </c>
      <c r="H16" s="17">
        <f t="shared" si="1"/>
        <v>1</v>
      </c>
      <c r="I16" s="22" t="s">
        <v>13</v>
      </c>
    </row>
    <row r="17" spans="1:9" ht="18.75" customHeight="1" x14ac:dyDescent="0.35">
      <c r="A17" s="1">
        <v>15</v>
      </c>
      <c r="B17" s="2" t="s">
        <v>38</v>
      </c>
      <c r="C17" s="3" t="s">
        <v>11</v>
      </c>
      <c r="D17" s="24" t="s">
        <v>26</v>
      </c>
      <c r="E17" s="5">
        <v>2.2000000000000002</v>
      </c>
      <c r="F17" s="6">
        <v>3.5</v>
      </c>
      <c r="G17" s="7">
        <f t="shared" si="0"/>
        <v>1.2999999999999998</v>
      </c>
      <c r="H17" s="8">
        <f t="shared" si="1"/>
        <v>1.5909090909090908</v>
      </c>
      <c r="I17" s="9" t="s">
        <v>13</v>
      </c>
    </row>
    <row r="18" spans="1:9" ht="18.75" customHeight="1" x14ac:dyDescent="0.35">
      <c r="A18" s="10">
        <v>16</v>
      </c>
      <c r="B18" s="11" t="s">
        <v>39</v>
      </c>
      <c r="C18" s="12" t="s">
        <v>11</v>
      </c>
      <c r="D18" s="19" t="s">
        <v>20</v>
      </c>
      <c r="E18" s="14">
        <v>1.1000000000000001</v>
      </c>
      <c r="F18" s="15">
        <v>2.5</v>
      </c>
      <c r="G18" s="16">
        <f t="shared" si="0"/>
        <v>1.4</v>
      </c>
      <c r="H18" s="17">
        <f t="shared" si="1"/>
        <v>2.2727272727272725</v>
      </c>
      <c r="I18" s="22" t="s">
        <v>13</v>
      </c>
    </row>
    <row r="19" spans="1:9" ht="18.75" customHeight="1" x14ac:dyDescent="0.35">
      <c r="A19" s="1">
        <v>17</v>
      </c>
      <c r="B19" s="2" t="s">
        <v>40</v>
      </c>
      <c r="C19" s="3" t="s">
        <v>11</v>
      </c>
      <c r="D19" s="13" t="s">
        <v>16</v>
      </c>
      <c r="E19" s="5">
        <v>4.2</v>
      </c>
      <c r="F19" s="6">
        <v>5.85</v>
      </c>
      <c r="G19" s="7">
        <f t="shared" si="0"/>
        <v>1.6499999999999995</v>
      </c>
      <c r="H19" s="8">
        <f t="shared" si="1"/>
        <v>1.3928571428571428</v>
      </c>
      <c r="I19" s="9" t="s">
        <v>13</v>
      </c>
    </row>
    <row r="20" spans="1:9" ht="18.75" customHeight="1" x14ac:dyDescent="0.35">
      <c r="A20" s="10">
        <v>18</v>
      </c>
      <c r="B20" s="11" t="s">
        <v>41</v>
      </c>
      <c r="C20" s="12" t="s">
        <v>11</v>
      </c>
      <c r="D20" s="24" t="s">
        <v>26</v>
      </c>
      <c r="E20" s="14">
        <v>4.2</v>
      </c>
      <c r="F20" s="15">
        <v>7.95</v>
      </c>
      <c r="G20" s="16">
        <f t="shared" si="0"/>
        <v>3.75</v>
      </c>
      <c r="H20" s="17">
        <f t="shared" si="1"/>
        <v>1.8928571428571428</v>
      </c>
      <c r="I20" s="22" t="s">
        <v>13</v>
      </c>
    </row>
    <row r="21" spans="1:9" ht="18.75" customHeight="1" x14ac:dyDescent="0.35">
      <c r="A21" s="1">
        <v>19</v>
      </c>
      <c r="B21" s="2" t="s">
        <v>42</v>
      </c>
      <c r="C21" s="3" t="s">
        <v>43</v>
      </c>
      <c r="D21" s="25" t="s">
        <v>28</v>
      </c>
      <c r="E21" s="5">
        <v>4.2</v>
      </c>
      <c r="F21" s="6">
        <v>8.0500000000000007</v>
      </c>
      <c r="G21" s="7">
        <f t="shared" si="0"/>
        <v>3.8500000000000005</v>
      </c>
      <c r="H21" s="8">
        <f t="shared" si="1"/>
        <v>1.9166666666666667</v>
      </c>
      <c r="I21" s="20" t="s">
        <v>17</v>
      </c>
    </row>
    <row r="22" spans="1:9" ht="18.75" customHeight="1" x14ac:dyDescent="0.35">
      <c r="A22" s="10">
        <v>20</v>
      </c>
      <c r="B22" s="11" t="s">
        <v>44</v>
      </c>
      <c r="C22" s="12" t="s">
        <v>15</v>
      </c>
      <c r="D22" s="4" t="s">
        <v>12</v>
      </c>
      <c r="E22" s="14">
        <v>0.6</v>
      </c>
      <c r="F22" s="15">
        <v>1.95</v>
      </c>
      <c r="G22" s="16">
        <f t="shared" si="0"/>
        <v>1.35</v>
      </c>
      <c r="H22" s="17">
        <f t="shared" si="1"/>
        <v>3.25</v>
      </c>
      <c r="I22" s="18" t="s">
        <v>17</v>
      </c>
    </row>
    <row r="23" spans="1:9" ht="18.75" customHeight="1" x14ac:dyDescent="0.35">
      <c r="A23" s="1">
        <v>21</v>
      </c>
      <c r="B23" s="2" t="s">
        <v>45</v>
      </c>
      <c r="C23" s="3" t="s">
        <v>11</v>
      </c>
      <c r="D23" s="26" t="s">
        <v>36</v>
      </c>
      <c r="E23" s="5">
        <v>1.1000000000000001</v>
      </c>
      <c r="F23" s="6">
        <v>2.7</v>
      </c>
      <c r="G23" s="7">
        <f t="shared" si="0"/>
        <v>1.6</v>
      </c>
      <c r="H23" s="8">
        <f t="shared" si="1"/>
        <v>2.4545454545454546</v>
      </c>
      <c r="I23" s="9" t="s">
        <v>13</v>
      </c>
    </row>
    <row r="24" spans="1:9" ht="18.75" customHeight="1" x14ac:dyDescent="0.35">
      <c r="A24" s="10">
        <v>22</v>
      </c>
      <c r="B24" s="11" t="s">
        <v>46</v>
      </c>
      <c r="C24" s="12" t="s">
        <v>11</v>
      </c>
      <c r="D24" s="25" t="s">
        <v>28</v>
      </c>
      <c r="E24" s="14">
        <v>4.2</v>
      </c>
      <c r="F24" s="15">
        <v>5.4</v>
      </c>
      <c r="G24" s="16">
        <f t="shared" si="0"/>
        <v>1.2000000000000002</v>
      </c>
      <c r="H24" s="17">
        <f t="shared" si="1"/>
        <v>1.2857142857142858</v>
      </c>
      <c r="I24" s="22" t="s">
        <v>13</v>
      </c>
    </row>
    <row r="25" spans="1:9" ht="18.75" customHeight="1" x14ac:dyDescent="0.35">
      <c r="A25" s="1">
        <v>23</v>
      </c>
      <c r="B25" s="2" t="s">
        <v>47</v>
      </c>
      <c r="C25" s="3" t="s">
        <v>11</v>
      </c>
      <c r="D25" s="24" t="s">
        <v>26</v>
      </c>
      <c r="E25" s="5">
        <v>0.6</v>
      </c>
      <c r="F25" s="6">
        <v>2.7</v>
      </c>
      <c r="G25" s="7">
        <f t="shared" si="0"/>
        <v>2.1</v>
      </c>
      <c r="H25" s="8">
        <f t="shared" si="1"/>
        <v>4.5000000000000009</v>
      </c>
      <c r="I25" s="9" t="s">
        <v>13</v>
      </c>
    </row>
    <row r="26" spans="1:9" ht="18.75" customHeight="1" x14ac:dyDescent="0.35">
      <c r="A26" s="10">
        <v>24</v>
      </c>
      <c r="B26" s="11" t="s">
        <v>48</v>
      </c>
      <c r="C26" s="12" t="s">
        <v>49</v>
      </c>
      <c r="D26" s="23" t="s">
        <v>24</v>
      </c>
      <c r="E26" s="14">
        <v>2.2000000000000002</v>
      </c>
      <c r="F26" s="15">
        <v>3.1</v>
      </c>
      <c r="G26" s="16">
        <f t="shared" si="0"/>
        <v>0.89999999999999991</v>
      </c>
      <c r="H26" s="17">
        <f t="shared" si="1"/>
        <v>1.4090909090909089</v>
      </c>
      <c r="I26" s="18" t="s">
        <v>17</v>
      </c>
    </row>
    <row r="27" spans="1:9" ht="18.75" customHeight="1" x14ac:dyDescent="0.35">
      <c r="A27" s="1">
        <v>25</v>
      </c>
      <c r="B27" s="2" t="s">
        <v>50</v>
      </c>
      <c r="C27" s="3" t="s">
        <v>11</v>
      </c>
      <c r="D27" s="26" t="s">
        <v>36</v>
      </c>
      <c r="E27" s="5">
        <v>1.1000000000000001</v>
      </c>
      <c r="F27" s="6">
        <v>2.2000000000000002</v>
      </c>
      <c r="G27" s="7">
        <f t="shared" si="0"/>
        <v>1.1000000000000001</v>
      </c>
      <c r="H27" s="8">
        <f t="shared" si="1"/>
        <v>2</v>
      </c>
      <c r="I27" s="9" t="s">
        <v>13</v>
      </c>
    </row>
    <row r="28" spans="1:9" ht="18.75" customHeight="1" x14ac:dyDescent="0.35">
      <c r="A28" s="10">
        <v>26</v>
      </c>
      <c r="B28" s="11" t="s">
        <v>51</v>
      </c>
      <c r="C28" s="12" t="s">
        <v>11</v>
      </c>
      <c r="D28" s="19" t="s">
        <v>20</v>
      </c>
      <c r="E28" s="14">
        <v>1.1000000000000001</v>
      </c>
      <c r="F28" s="15">
        <v>6.5</v>
      </c>
      <c r="G28" s="16">
        <f t="shared" si="0"/>
        <v>5.4</v>
      </c>
      <c r="H28" s="17">
        <f t="shared" si="1"/>
        <v>5.9090909090909083</v>
      </c>
      <c r="I28" s="22" t="s">
        <v>13</v>
      </c>
    </row>
    <row r="29" spans="1:9" ht="18.75" customHeight="1" x14ac:dyDescent="0.35">
      <c r="A29" s="1">
        <v>27</v>
      </c>
      <c r="B29" s="2" t="s">
        <v>52</v>
      </c>
      <c r="C29" s="3" t="s">
        <v>11</v>
      </c>
      <c r="D29" s="24" t="s">
        <v>26</v>
      </c>
      <c r="E29" s="5">
        <v>1.1000000000000001</v>
      </c>
      <c r="F29" s="6">
        <v>1.1000000000000001</v>
      </c>
      <c r="G29" s="7">
        <f t="shared" si="0"/>
        <v>0</v>
      </c>
      <c r="H29" s="8">
        <f t="shared" si="1"/>
        <v>1</v>
      </c>
      <c r="I29" s="9" t="s">
        <v>13</v>
      </c>
    </row>
    <row r="30" spans="1:9" ht="18.75" customHeight="1" x14ac:dyDescent="0.35">
      <c r="A30" s="10">
        <v>28</v>
      </c>
      <c r="B30" s="11" t="s">
        <v>53</v>
      </c>
      <c r="C30" s="12" t="s">
        <v>11</v>
      </c>
      <c r="D30" s="13" t="s">
        <v>16</v>
      </c>
      <c r="E30" s="14">
        <v>0.6</v>
      </c>
      <c r="F30" s="15">
        <v>0.92500000000000004</v>
      </c>
      <c r="G30" s="16">
        <f t="shared" si="0"/>
        <v>0.32500000000000007</v>
      </c>
      <c r="H30" s="17">
        <f t="shared" si="1"/>
        <v>1.5416666666666667</v>
      </c>
      <c r="I30" s="22" t="s">
        <v>13</v>
      </c>
    </row>
    <row r="31" spans="1:9" ht="18.75" customHeight="1" x14ac:dyDescent="0.35">
      <c r="A31" s="1">
        <v>29</v>
      </c>
      <c r="B31" s="2" t="s">
        <v>54</v>
      </c>
      <c r="C31" s="3" t="s">
        <v>11</v>
      </c>
      <c r="D31" s="23" t="s">
        <v>24</v>
      </c>
      <c r="E31" s="5">
        <v>1.1000000000000001</v>
      </c>
      <c r="F31" s="6">
        <v>2.9</v>
      </c>
      <c r="G31" s="7">
        <f t="shared" si="0"/>
        <v>1.7999999999999998</v>
      </c>
      <c r="H31" s="8">
        <f t="shared" si="1"/>
        <v>2.6363636363636362</v>
      </c>
      <c r="I31" s="9" t="s">
        <v>13</v>
      </c>
    </row>
    <row r="32" spans="1:9" ht="18.75" customHeight="1" x14ac:dyDescent="0.35">
      <c r="A32" s="10">
        <v>30</v>
      </c>
      <c r="B32" s="11" t="s">
        <v>55</v>
      </c>
      <c r="C32" s="12" t="s">
        <v>11</v>
      </c>
      <c r="D32" s="25" t="s">
        <v>28</v>
      </c>
      <c r="E32" s="14">
        <v>0.6</v>
      </c>
      <c r="F32" s="15">
        <v>0.67500000000000004</v>
      </c>
      <c r="G32" s="16">
        <f t="shared" si="0"/>
        <v>7.5000000000000067E-2</v>
      </c>
      <c r="H32" s="17">
        <f t="shared" si="1"/>
        <v>1.1250000000000002</v>
      </c>
      <c r="I32" s="22" t="s">
        <v>13</v>
      </c>
    </row>
    <row r="33" spans="1:9" ht="18.75" customHeight="1" x14ac:dyDescent="0.35">
      <c r="A33" s="1">
        <v>31</v>
      </c>
      <c r="B33" s="2" t="s">
        <v>56</v>
      </c>
      <c r="C33" s="3" t="s">
        <v>43</v>
      </c>
      <c r="D33" s="4" t="s">
        <v>12</v>
      </c>
      <c r="E33" s="5">
        <v>4.2</v>
      </c>
      <c r="F33" s="6">
        <v>7</v>
      </c>
      <c r="G33" s="7">
        <f t="shared" si="0"/>
        <v>2.8</v>
      </c>
      <c r="H33" s="8">
        <f t="shared" si="1"/>
        <v>1.6666666666666665</v>
      </c>
      <c r="I33" s="20" t="s">
        <v>17</v>
      </c>
    </row>
    <row r="34" spans="1:9" ht="18.75" customHeight="1" x14ac:dyDescent="0.35">
      <c r="A34" s="10">
        <v>32</v>
      </c>
      <c r="B34" s="11" t="s">
        <v>57</v>
      </c>
      <c r="C34" s="12" t="s">
        <v>15</v>
      </c>
      <c r="D34" s="21" t="s">
        <v>22</v>
      </c>
      <c r="E34" s="14">
        <v>4.2</v>
      </c>
      <c r="F34" s="15">
        <v>4.2</v>
      </c>
      <c r="G34" s="16">
        <f t="shared" si="0"/>
        <v>0</v>
      </c>
      <c r="H34" s="17">
        <f t="shared" si="1"/>
        <v>1</v>
      </c>
      <c r="I34" s="18" t="s">
        <v>17</v>
      </c>
    </row>
    <row r="35" spans="1:9" ht="18.75" customHeight="1" x14ac:dyDescent="0.35">
      <c r="A35" s="1">
        <v>33</v>
      </c>
      <c r="B35" s="2" t="s">
        <v>58</v>
      </c>
      <c r="C35" s="3" t="s">
        <v>11</v>
      </c>
      <c r="D35" s="4" t="s">
        <v>12</v>
      </c>
      <c r="E35" s="5">
        <v>2.2000000000000002</v>
      </c>
      <c r="F35" s="6">
        <v>4.0999999999999996</v>
      </c>
      <c r="G35" s="7">
        <f t="shared" ref="G35:G66" si="2">F35-E35</f>
        <v>1.8999999999999995</v>
      </c>
      <c r="H35" s="8">
        <f t="shared" ref="H35:H66" si="3">IFERROR(F35/E35,"—")</f>
        <v>1.8636363636363633</v>
      </c>
      <c r="I35" s="9" t="s">
        <v>13</v>
      </c>
    </row>
    <row r="36" spans="1:9" ht="18.75" customHeight="1" x14ac:dyDescent="0.35">
      <c r="A36" s="10">
        <v>34</v>
      </c>
      <c r="B36" s="11" t="s">
        <v>59</v>
      </c>
      <c r="C36" s="12" t="s">
        <v>11</v>
      </c>
      <c r="D36" s="13" t="s">
        <v>16</v>
      </c>
      <c r="E36" s="14">
        <v>1.1000000000000001</v>
      </c>
      <c r="F36" s="15">
        <v>2.4</v>
      </c>
      <c r="G36" s="16">
        <f t="shared" si="2"/>
        <v>1.2999999999999998</v>
      </c>
      <c r="H36" s="17">
        <f t="shared" si="3"/>
        <v>2.1818181818181817</v>
      </c>
      <c r="I36" s="22" t="s">
        <v>13</v>
      </c>
    </row>
    <row r="37" spans="1:9" ht="18.75" customHeight="1" x14ac:dyDescent="0.35">
      <c r="A37" s="1">
        <v>35</v>
      </c>
      <c r="B37" s="2" t="s">
        <v>60</v>
      </c>
      <c r="C37" s="3" t="s">
        <v>11</v>
      </c>
      <c r="D37" s="13" t="s">
        <v>16</v>
      </c>
      <c r="E37" s="5">
        <v>0.6</v>
      </c>
      <c r="F37" s="6">
        <v>0.625</v>
      </c>
      <c r="G37" s="7">
        <f t="shared" si="2"/>
        <v>2.5000000000000022E-2</v>
      </c>
      <c r="H37" s="8">
        <f t="shared" si="3"/>
        <v>1.0416666666666667</v>
      </c>
      <c r="I37" s="9" t="s">
        <v>13</v>
      </c>
    </row>
    <row r="38" spans="1:9" ht="18.75" customHeight="1" x14ac:dyDescent="0.35">
      <c r="A38" s="10">
        <v>36</v>
      </c>
      <c r="B38" s="11" t="s">
        <v>61</v>
      </c>
      <c r="C38" s="12" t="s">
        <v>11</v>
      </c>
      <c r="D38" s="19" t="s">
        <v>20</v>
      </c>
      <c r="E38" s="14">
        <v>0.6</v>
      </c>
      <c r="F38" s="15">
        <v>0.6</v>
      </c>
      <c r="G38" s="16">
        <f t="shared" si="2"/>
        <v>0</v>
      </c>
      <c r="H38" s="17">
        <f t="shared" si="3"/>
        <v>1</v>
      </c>
      <c r="I38" s="22" t="s">
        <v>13</v>
      </c>
    </row>
    <row r="39" spans="1:9" ht="18.75" customHeight="1" x14ac:dyDescent="0.35">
      <c r="A39" s="1">
        <v>37</v>
      </c>
      <c r="B39" s="2" t="s">
        <v>62</v>
      </c>
      <c r="C39" s="3" t="s">
        <v>11</v>
      </c>
      <c r="D39" s="26" t="s">
        <v>36</v>
      </c>
      <c r="E39" s="5">
        <v>0.6</v>
      </c>
      <c r="F39" s="6">
        <v>0.6</v>
      </c>
      <c r="G39" s="7">
        <f t="shared" si="2"/>
        <v>0</v>
      </c>
      <c r="H39" s="8">
        <f t="shared" si="3"/>
        <v>1</v>
      </c>
      <c r="I39" s="9" t="s">
        <v>13</v>
      </c>
    </row>
    <row r="40" spans="1:9" ht="18.75" customHeight="1" x14ac:dyDescent="0.35">
      <c r="A40" s="10">
        <v>38</v>
      </c>
      <c r="B40" s="11" t="s">
        <v>63</v>
      </c>
      <c r="C40" s="12" t="s">
        <v>64</v>
      </c>
      <c r="D40" s="13" t="s">
        <v>16</v>
      </c>
      <c r="E40" s="14">
        <v>0.6</v>
      </c>
      <c r="F40" s="15">
        <v>0.6</v>
      </c>
      <c r="G40" s="16">
        <f t="shared" si="2"/>
        <v>0</v>
      </c>
      <c r="H40" s="17">
        <f t="shared" si="3"/>
        <v>1</v>
      </c>
      <c r="I40" s="18" t="s">
        <v>17</v>
      </c>
    </row>
    <row r="41" spans="1:9" ht="18.75" customHeight="1" x14ac:dyDescent="0.35">
      <c r="A41" s="1">
        <v>39</v>
      </c>
      <c r="B41" s="2" t="s">
        <v>65</v>
      </c>
      <c r="C41" s="3" t="s">
        <v>11</v>
      </c>
      <c r="D41" s="24" t="s">
        <v>26</v>
      </c>
      <c r="E41" s="5">
        <v>0.6</v>
      </c>
      <c r="F41" s="6">
        <v>0.6</v>
      </c>
      <c r="G41" s="7">
        <f t="shared" si="2"/>
        <v>0</v>
      </c>
      <c r="H41" s="8">
        <f t="shared" si="3"/>
        <v>1</v>
      </c>
      <c r="I41" s="9" t="s">
        <v>13</v>
      </c>
    </row>
    <row r="42" spans="1:9" ht="18.75" customHeight="1" x14ac:dyDescent="0.35">
      <c r="A42" s="10">
        <v>40</v>
      </c>
      <c r="B42" s="11" t="s">
        <v>66</v>
      </c>
      <c r="C42" s="12" t="s">
        <v>11</v>
      </c>
      <c r="D42" s="4" t="s">
        <v>12</v>
      </c>
      <c r="E42" s="14">
        <v>0.6</v>
      </c>
      <c r="F42" s="15">
        <v>1.9</v>
      </c>
      <c r="G42" s="16">
        <f t="shared" si="2"/>
        <v>1.2999999999999998</v>
      </c>
      <c r="H42" s="17">
        <f t="shared" si="3"/>
        <v>3.1666666666666665</v>
      </c>
      <c r="I42" s="22" t="s">
        <v>13</v>
      </c>
    </row>
    <row r="43" spans="1:9" ht="18.75" customHeight="1" x14ac:dyDescent="0.35">
      <c r="A43" s="1">
        <v>41</v>
      </c>
      <c r="B43" s="2" t="s">
        <v>67</v>
      </c>
      <c r="C43" s="3" t="s">
        <v>11</v>
      </c>
      <c r="D43" s="19" t="s">
        <v>20</v>
      </c>
      <c r="E43" s="5">
        <v>0.6</v>
      </c>
      <c r="F43" s="6">
        <v>0.6</v>
      </c>
      <c r="G43" s="7">
        <f t="shared" si="2"/>
        <v>0</v>
      </c>
      <c r="H43" s="8">
        <f t="shared" si="3"/>
        <v>1</v>
      </c>
      <c r="I43" s="9" t="s">
        <v>13</v>
      </c>
    </row>
    <row r="44" spans="1:9" ht="18.75" customHeight="1" x14ac:dyDescent="0.35">
      <c r="A44" s="10">
        <v>42</v>
      </c>
      <c r="B44" s="11" t="s">
        <v>68</v>
      </c>
      <c r="C44" s="12" t="s">
        <v>11</v>
      </c>
      <c r="D44" s="4" t="s">
        <v>12</v>
      </c>
      <c r="E44" s="14">
        <v>0.6</v>
      </c>
      <c r="F44" s="15">
        <v>0.6</v>
      </c>
      <c r="G44" s="16">
        <f t="shared" si="2"/>
        <v>0</v>
      </c>
      <c r="H44" s="17">
        <f t="shared" si="3"/>
        <v>1</v>
      </c>
      <c r="I44" s="22" t="s">
        <v>13</v>
      </c>
    </row>
    <row r="45" spans="1:9" ht="18.75" customHeight="1" x14ac:dyDescent="0.35">
      <c r="A45" s="1">
        <v>43</v>
      </c>
      <c r="B45" s="2" t="s">
        <v>69</v>
      </c>
      <c r="C45" s="3" t="s">
        <v>11</v>
      </c>
      <c r="D45" s="26" t="s">
        <v>36</v>
      </c>
      <c r="E45" s="5">
        <v>0.6</v>
      </c>
      <c r="F45" s="6">
        <v>0.625</v>
      </c>
      <c r="G45" s="7">
        <f t="shared" si="2"/>
        <v>2.5000000000000022E-2</v>
      </c>
      <c r="H45" s="8">
        <f t="shared" si="3"/>
        <v>1.0416666666666667</v>
      </c>
      <c r="I45" s="9" t="s">
        <v>13</v>
      </c>
    </row>
    <row r="46" spans="1:9" ht="18.75" customHeight="1" x14ac:dyDescent="0.35">
      <c r="A46" s="10">
        <v>44</v>
      </c>
      <c r="B46" s="11" t="s">
        <v>70</v>
      </c>
      <c r="C46" s="12" t="s">
        <v>43</v>
      </c>
      <c r="D46" s="19" t="s">
        <v>20</v>
      </c>
      <c r="E46" s="14">
        <v>0.6</v>
      </c>
      <c r="F46" s="15">
        <v>0.6</v>
      </c>
      <c r="G46" s="16">
        <f t="shared" si="2"/>
        <v>0</v>
      </c>
      <c r="H46" s="17">
        <f t="shared" si="3"/>
        <v>1</v>
      </c>
      <c r="I46" s="18" t="s">
        <v>17</v>
      </c>
    </row>
    <row r="47" spans="1:9" ht="18.75" customHeight="1" x14ac:dyDescent="0.35">
      <c r="A47" s="1">
        <v>45</v>
      </c>
      <c r="B47" s="2" t="s">
        <v>71</v>
      </c>
      <c r="C47" s="3" t="s">
        <v>72</v>
      </c>
      <c r="D47" s="23" t="s">
        <v>24</v>
      </c>
      <c r="E47" s="5">
        <v>1.1000000000000001</v>
      </c>
      <c r="F47" s="6">
        <v>1.85</v>
      </c>
      <c r="G47" s="7">
        <f t="shared" si="2"/>
        <v>0.75</v>
      </c>
      <c r="H47" s="8">
        <f t="shared" si="3"/>
        <v>1.6818181818181817</v>
      </c>
      <c r="I47" s="20" t="s">
        <v>17</v>
      </c>
    </row>
    <row r="48" spans="1:9" ht="18.75" customHeight="1" x14ac:dyDescent="0.35">
      <c r="A48" s="10">
        <v>46</v>
      </c>
      <c r="B48" s="11" t="s">
        <v>73</v>
      </c>
      <c r="C48" s="12" t="s">
        <v>72</v>
      </c>
      <c r="D48" s="23" t="s">
        <v>24</v>
      </c>
      <c r="E48" s="14">
        <v>0.6</v>
      </c>
      <c r="F48" s="15">
        <v>0.6</v>
      </c>
      <c r="G48" s="16">
        <f t="shared" si="2"/>
        <v>0</v>
      </c>
      <c r="H48" s="17">
        <f t="shared" si="3"/>
        <v>1</v>
      </c>
      <c r="I48" s="18" t="s">
        <v>17</v>
      </c>
    </row>
    <row r="49" spans="1:9" ht="18.75" customHeight="1" x14ac:dyDescent="0.35">
      <c r="A49" s="1">
        <v>47</v>
      </c>
      <c r="B49" s="2" t="s">
        <v>74</v>
      </c>
      <c r="C49" s="3" t="s">
        <v>75</v>
      </c>
      <c r="D49" s="19" t="s">
        <v>20</v>
      </c>
      <c r="E49" s="5">
        <v>0.6</v>
      </c>
      <c r="F49" s="6">
        <v>0.6</v>
      </c>
      <c r="G49" s="7">
        <f t="shared" si="2"/>
        <v>0</v>
      </c>
      <c r="H49" s="8">
        <f t="shared" si="3"/>
        <v>1</v>
      </c>
      <c r="I49" s="20" t="s">
        <v>17</v>
      </c>
    </row>
    <row r="50" spans="1:9" ht="18.75" customHeight="1" x14ac:dyDescent="0.35">
      <c r="A50" s="10">
        <v>48</v>
      </c>
      <c r="B50" s="11" t="s">
        <v>76</v>
      </c>
      <c r="C50" s="12" t="s">
        <v>77</v>
      </c>
      <c r="D50" s="4" t="s">
        <v>12</v>
      </c>
      <c r="E50" s="14">
        <v>1.1000000000000001</v>
      </c>
      <c r="F50" s="15">
        <v>1.1000000000000001</v>
      </c>
      <c r="G50" s="16">
        <f t="shared" si="2"/>
        <v>0</v>
      </c>
      <c r="H50" s="17">
        <f t="shared" si="3"/>
        <v>1</v>
      </c>
      <c r="I50" s="18" t="s">
        <v>17</v>
      </c>
    </row>
    <row r="51" spans="1:9" ht="18.75" customHeight="1" x14ac:dyDescent="0.35">
      <c r="A51" s="1">
        <v>49</v>
      </c>
      <c r="B51" s="2" t="s">
        <v>78</v>
      </c>
      <c r="C51" s="3" t="s">
        <v>43</v>
      </c>
      <c r="D51" s="19" t="s">
        <v>20</v>
      </c>
      <c r="E51" s="5">
        <v>0.6</v>
      </c>
      <c r="F51" s="6">
        <v>0.6</v>
      </c>
      <c r="G51" s="7">
        <f t="shared" si="2"/>
        <v>0</v>
      </c>
      <c r="H51" s="8">
        <f t="shared" si="3"/>
        <v>1</v>
      </c>
      <c r="I51" s="20" t="s">
        <v>17</v>
      </c>
    </row>
    <row r="52" spans="1:9" ht="18.75" customHeight="1" x14ac:dyDescent="0.35">
      <c r="A52" s="10">
        <v>50</v>
      </c>
      <c r="B52" s="11" t="s">
        <v>79</v>
      </c>
      <c r="C52" s="12" t="s">
        <v>15</v>
      </c>
      <c r="D52" s="21" t="s">
        <v>22</v>
      </c>
      <c r="E52" s="14">
        <v>0.6</v>
      </c>
      <c r="F52" s="15">
        <v>0.6</v>
      </c>
      <c r="G52" s="16">
        <f t="shared" si="2"/>
        <v>0</v>
      </c>
      <c r="H52" s="17">
        <f t="shared" si="3"/>
        <v>1</v>
      </c>
      <c r="I52" s="18" t="s">
        <v>17</v>
      </c>
    </row>
    <row r="53" spans="1:9" ht="18.75" customHeight="1" x14ac:dyDescent="0.35">
      <c r="A53" s="1">
        <v>51</v>
      </c>
      <c r="B53" s="2" t="s">
        <v>80</v>
      </c>
      <c r="C53" s="3" t="s">
        <v>19</v>
      </c>
      <c r="D53" s="21" t="s">
        <v>22</v>
      </c>
      <c r="E53" s="5">
        <v>0.6</v>
      </c>
      <c r="F53" s="6">
        <v>0.6</v>
      </c>
      <c r="G53" s="7">
        <f t="shared" si="2"/>
        <v>0</v>
      </c>
      <c r="H53" s="8">
        <f t="shared" si="3"/>
        <v>1</v>
      </c>
      <c r="I53" s="20" t="s">
        <v>17</v>
      </c>
    </row>
    <row r="54" spans="1:9" ht="18.75" customHeight="1" x14ac:dyDescent="0.35">
      <c r="A54" s="10">
        <v>52</v>
      </c>
      <c r="B54" s="11" t="s">
        <v>81</v>
      </c>
      <c r="C54" s="12" t="s">
        <v>82</v>
      </c>
      <c r="D54" s="13" t="s">
        <v>16</v>
      </c>
      <c r="E54" s="14">
        <v>0.6</v>
      </c>
      <c r="F54" s="15">
        <v>0.9</v>
      </c>
      <c r="G54" s="16">
        <f t="shared" si="2"/>
        <v>0.30000000000000004</v>
      </c>
      <c r="H54" s="17">
        <f t="shared" si="3"/>
        <v>1.5</v>
      </c>
      <c r="I54" s="18" t="s">
        <v>17</v>
      </c>
    </row>
    <row r="55" spans="1:9" ht="18.75" customHeight="1" x14ac:dyDescent="0.35">
      <c r="A55" s="1">
        <v>53</v>
      </c>
      <c r="B55" s="2" t="s">
        <v>83</v>
      </c>
      <c r="C55" s="3" t="s">
        <v>19</v>
      </c>
      <c r="D55" s="23" t="s">
        <v>24</v>
      </c>
      <c r="E55" s="5">
        <v>1.1000000000000001</v>
      </c>
      <c r="F55" s="6">
        <v>1.1000000000000001</v>
      </c>
      <c r="G55" s="7">
        <f t="shared" si="2"/>
        <v>0</v>
      </c>
      <c r="H55" s="8">
        <f t="shared" si="3"/>
        <v>1</v>
      </c>
      <c r="I55" s="20" t="s">
        <v>17</v>
      </c>
    </row>
    <row r="56" spans="1:9" ht="18.75" customHeight="1" x14ac:dyDescent="0.35">
      <c r="A56" s="10">
        <v>54</v>
      </c>
      <c r="B56" s="11" t="s">
        <v>84</v>
      </c>
      <c r="C56" s="12" t="s">
        <v>72</v>
      </c>
      <c r="D56" s="23" t="s">
        <v>24</v>
      </c>
      <c r="E56" s="14">
        <v>0.6</v>
      </c>
      <c r="F56" s="15">
        <v>0.6</v>
      </c>
      <c r="G56" s="16">
        <f t="shared" si="2"/>
        <v>0</v>
      </c>
      <c r="H56" s="17">
        <f t="shared" si="3"/>
        <v>1</v>
      </c>
      <c r="I56" s="18" t="s">
        <v>17</v>
      </c>
    </row>
    <row r="57" spans="1:9" ht="18.75" customHeight="1" x14ac:dyDescent="0.35">
      <c r="A57" s="1">
        <v>55</v>
      </c>
      <c r="B57" s="2" t="s">
        <v>85</v>
      </c>
      <c r="C57" s="3" t="s">
        <v>15</v>
      </c>
      <c r="D57" s="13" t="s">
        <v>16</v>
      </c>
      <c r="E57" s="5">
        <v>4.2</v>
      </c>
      <c r="F57" s="6">
        <v>4.5</v>
      </c>
      <c r="G57" s="7">
        <f t="shared" si="2"/>
        <v>0.29999999999999982</v>
      </c>
      <c r="H57" s="8">
        <f t="shared" si="3"/>
        <v>1.0714285714285714</v>
      </c>
      <c r="I57" s="20" t="s">
        <v>17</v>
      </c>
    </row>
    <row r="58" spans="1:9" ht="18.75" customHeight="1" x14ac:dyDescent="0.35">
      <c r="A58" s="10">
        <v>56</v>
      </c>
      <c r="B58" s="11" t="s">
        <v>86</v>
      </c>
      <c r="C58" s="12" t="s">
        <v>11</v>
      </c>
      <c r="D58" s="25" t="s">
        <v>28</v>
      </c>
      <c r="E58" s="14">
        <v>0.6</v>
      </c>
      <c r="F58" s="15">
        <v>0.8</v>
      </c>
      <c r="G58" s="16">
        <f t="shared" si="2"/>
        <v>0.20000000000000007</v>
      </c>
      <c r="H58" s="17">
        <f t="shared" si="3"/>
        <v>1.3333333333333335</v>
      </c>
      <c r="I58" s="22" t="s">
        <v>13</v>
      </c>
    </row>
    <row r="59" spans="1:9" ht="18.75" customHeight="1" x14ac:dyDescent="0.35">
      <c r="A59" s="1">
        <v>57</v>
      </c>
      <c r="B59" s="2" t="s">
        <v>87</v>
      </c>
      <c r="C59" s="3" t="s">
        <v>11</v>
      </c>
      <c r="D59" s="4" t="s">
        <v>12</v>
      </c>
      <c r="E59" s="5">
        <v>0.6</v>
      </c>
      <c r="F59" s="6">
        <v>0.7</v>
      </c>
      <c r="G59" s="7">
        <f t="shared" si="2"/>
        <v>9.9999999999999978E-2</v>
      </c>
      <c r="H59" s="8">
        <f t="shared" si="3"/>
        <v>1.1666666666666667</v>
      </c>
      <c r="I59" s="9" t="s">
        <v>13</v>
      </c>
    </row>
    <row r="60" spans="1:9" ht="18.75" customHeight="1" x14ac:dyDescent="0.35">
      <c r="A60" s="10">
        <v>58</v>
      </c>
      <c r="B60" s="11" t="s">
        <v>88</v>
      </c>
      <c r="C60" s="12" t="s">
        <v>11</v>
      </c>
      <c r="D60" s="19" t="s">
        <v>20</v>
      </c>
      <c r="E60" s="14">
        <v>0.6</v>
      </c>
      <c r="F60" s="15">
        <v>0.77500000000000002</v>
      </c>
      <c r="G60" s="16">
        <f t="shared" si="2"/>
        <v>0.17500000000000004</v>
      </c>
      <c r="H60" s="17">
        <f t="shared" si="3"/>
        <v>1.2916666666666667</v>
      </c>
      <c r="I60" s="22" t="s">
        <v>13</v>
      </c>
    </row>
    <row r="61" spans="1:9" ht="18.75" customHeight="1" x14ac:dyDescent="0.35">
      <c r="A61" s="1">
        <v>59</v>
      </c>
      <c r="B61" s="2" t="s">
        <v>89</v>
      </c>
      <c r="C61" s="3" t="s">
        <v>11</v>
      </c>
      <c r="D61" s="19" t="s">
        <v>20</v>
      </c>
      <c r="E61" s="5">
        <v>0.6</v>
      </c>
      <c r="F61" s="6">
        <v>0.6</v>
      </c>
      <c r="G61" s="7">
        <f t="shared" si="2"/>
        <v>0</v>
      </c>
      <c r="H61" s="8">
        <f t="shared" si="3"/>
        <v>1</v>
      </c>
      <c r="I61" s="9" t="s">
        <v>13</v>
      </c>
    </row>
    <row r="62" spans="1:9" ht="18.75" customHeight="1" x14ac:dyDescent="0.35">
      <c r="A62" s="10">
        <v>60</v>
      </c>
      <c r="B62" s="11" t="s">
        <v>90</v>
      </c>
      <c r="C62" s="12" t="s">
        <v>19</v>
      </c>
      <c r="D62" s="21" t="s">
        <v>22</v>
      </c>
      <c r="E62" s="14">
        <v>2.2000000000000002</v>
      </c>
      <c r="F62" s="15">
        <v>2.2000000000000002</v>
      </c>
      <c r="G62" s="16">
        <f t="shared" si="2"/>
        <v>0</v>
      </c>
      <c r="H62" s="17">
        <f t="shared" si="3"/>
        <v>1</v>
      </c>
      <c r="I62" s="18" t="s">
        <v>17</v>
      </c>
    </row>
    <row r="63" spans="1:9" ht="18.75" customHeight="1" x14ac:dyDescent="0.35">
      <c r="A63" s="1">
        <v>61</v>
      </c>
      <c r="B63" s="2" t="s">
        <v>91</v>
      </c>
      <c r="C63" s="3" t="s">
        <v>15</v>
      </c>
      <c r="D63" s="21" t="s">
        <v>22</v>
      </c>
      <c r="E63" s="5">
        <v>2.2000000000000002</v>
      </c>
      <c r="F63" s="6">
        <v>2.5</v>
      </c>
      <c r="G63" s="7">
        <f t="shared" si="2"/>
        <v>0.29999999999999982</v>
      </c>
      <c r="H63" s="8">
        <f t="shared" si="3"/>
        <v>1.1363636363636362</v>
      </c>
      <c r="I63" s="20" t="s">
        <v>17</v>
      </c>
    </row>
    <row r="64" spans="1:9" ht="18.75" customHeight="1" x14ac:dyDescent="0.35">
      <c r="A64" s="10">
        <v>62</v>
      </c>
      <c r="B64" s="11" t="s">
        <v>92</v>
      </c>
      <c r="C64" s="12" t="s">
        <v>75</v>
      </c>
      <c r="D64" s="26" t="s">
        <v>36</v>
      </c>
      <c r="E64" s="14">
        <v>2.2000000000000002</v>
      </c>
      <c r="F64" s="15">
        <v>3</v>
      </c>
      <c r="G64" s="16">
        <f t="shared" si="2"/>
        <v>0.79999999999999982</v>
      </c>
      <c r="H64" s="17">
        <f t="shared" si="3"/>
        <v>1.3636363636363635</v>
      </c>
      <c r="I64" s="18" t="s">
        <v>17</v>
      </c>
    </row>
    <row r="65" spans="1:9" ht="18.75" customHeight="1" x14ac:dyDescent="0.35">
      <c r="A65" s="1">
        <v>63</v>
      </c>
      <c r="B65" s="2" t="s">
        <v>93</v>
      </c>
      <c r="C65" s="3" t="s">
        <v>15</v>
      </c>
      <c r="D65" s="23" t="s">
        <v>24</v>
      </c>
      <c r="E65" s="5">
        <v>4.2</v>
      </c>
      <c r="F65" s="6">
        <v>4.2</v>
      </c>
      <c r="G65" s="7">
        <f t="shared" si="2"/>
        <v>0</v>
      </c>
      <c r="H65" s="8">
        <f t="shared" si="3"/>
        <v>1</v>
      </c>
      <c r="I65" s="20" t="s">
        <v>17</v>
      </c>
    </row>
    <row r="66" spans="1:9" ht="18.75" customHeight="1" x14ac:dyDescent="0.35">
      <c r="A66" s="10">
        <v>64</v>
      </c>
      <c r="B66" s="11" t="s">
        <v>94</v>
      </c>
      <c r="C66" s="12" t="s">
        <v>43</v>
      </c>
      <c r="D66" s="26" t="s">
        <v>36</v>
      </c>
      <c r="E66" s="14">
        <v>4.2</v>
      </c>
      <c r="F66" s="15">
        <v>4.2</v>
      </c>
      <c r="G66" s="16">
        <f t="shared" si="2"/>
        <v>0</v>
      </c>
      <c r="H66" s="17">
        <f t="shared" si="3"/>
        <v>1</v>
      </c>
      <c r="I66" s="18" t="s">
        <v>17</v>
      </c>
    </row>
    <row r="67" spans="1:9" ht="18.75" customHeight="1" x14ac:dyDescent="0.35">
      <c r="A67" s="1">
        <v>65</v>
      </c>
      <c r="B67" s="2" t="s">
        <v>95</v>
      </c>
      <c r="C67" s="3" t="s">
        <v>49</v>
      </c>
      <c r="D67" s="24" t="s">
        <v>26</v>
      </c>
      <c r="E67" s="5">
        <v>0.6</v>
      </c>
      <c r="F67" s="6">
        <v>0.75</v>
      </c>
      <c r="G67" s="7">
        <f t="shared" ref="G67:G98" si="4">F67-E67</f>
        <v>0.15000000000000002</v>
      </c>
      <c r="H67" s="8">
        <f t="shared" ref="H67:H98" si="5">IFERROR(F67/E67,"—")</f>
        <v>1.25</v>
      </c>
      <c r="I67" s="20" t="s">
        <v>17</v>
      </c>
    </row>
    <row r="68" spans="1:9" ht="18.75" customHeight="1" x14ac:dyDescent="0.35">
      <c r="A68" s="10">
        <v>66</v>
      </c>
      <c r="B68" s="11" t="s">
        <v>96</v>
      </c>
      <c r="C68" s="12" t="s">
        <v>49</v>
      </c>
      <c r="D68" s="26" t="s">
        <v>36</v>
      </c>
      <c r="E68" s="14">
        <v>2.2000000000000002</v>
      </c>
      <c r="F68" s="15">
        <v>4.2</v>
      </c>
      <c r="G68" s="16">
        <f t="shared" si="4"/>
        <v>2</v>
      </c>
      <c r="H68" s="17">
        <f t="shared" si="5"/>
        <v>1.9090909090909089</v>
      </c>
      <c r="I68" s="18" t="s">
        <v>17</v>
      </c>
    </row>
    <row r="69" spans="1:9" ht="18.75" customHeight="1" x14ac:dyDescent="0.35">
      <c r="A69" s="1">
        <v>67</v>
      </c>
      <c r="B69" s="2" t="s">
        <v>97</v>
      </c>
      <c r="C69" s="3" t="s">
        <v>11</v>
      </c>
      <c r="D69" s="4" t="s">
        <v>12</v>
      </c>
      <c r="E69" s="5">
        <v>2.2000000000000002</v>
      </c>
      <c r="F69" s="6">
        <v>2.2000000000000002</v>
      </c>
      <c r="G69" s="7">
        <f t="shared" si="4"/>
        <v>0</v>
      </c>
      <c r="H69" s="8">
        <f t="shared" si="5"/>
        <v>1</v>
      </c>
      <c r="I69" s="9" t="s">
        <v>13</v>
      </c>
    </row>
    <row r="70" spans="1:9" ht="18.75" customHeight="1" x14ac:dyDescent="0.35">
      <c r="A70" s="10">
        <v>68</v>
      </c>
      <c r="B70" s="11" t="s">
        <v>98</v>
      </c>
      <c r="C70" s="12" t="s">
        <v>75</v>
      </c>
      <c r="D70" s="4" t="s">
        <v>12</v>
      </c>
      <c r="E70" s="14">
        <v>1.1000000000000001</v>
      </c>
      <c r="F70" s="15">
        <v>1.1000000000000001</v>
      </c>
      <c r="G70" s="16">
        <f t="shared" si="4"/>
        <v>0</v>
      </c>
      <c r="H70" s="17">
        <f t="shared" si="5"/>
        <v>1</v>
      </c>
      <c r="I70" s="18" t="s">
        <v>17</v>
      </c>
    </row>
    <row r="71" spans="1:9" ht="18.75" customHeight="1" x14ac:dyDescent="0.35">
      <c r="A71" s="1">
        <v>69</v>
      </c>
      <c r="B71" s="2" t="s">
        <v>99</v>
      </c>
      <c r="C71" s="3" t="s">
        <v>77</v>
      </c>
      <c r="D71" s="13" t="s">
        <v>16</v>
      </c>
      <c r="E71" s="5">
        <v>1.1000000000000001</v>
      </c>
      <c r="F71" s="6">
        <v>2</v>
      </c>
      <c r="G71" s="7">
        <f t="shared" si="4"/>
        <v>0.89999999999999991</v>
      </c>
      <c r="H71" s="8">
        <f t="shared" si="5"/>
        <v>1.8181818181818181</v>
      </c>
      <c r="I71" s="20" t="s">
        <v>17</v>
      </c>
    </row>
    <row r="72" spans="1:9" ht="18.75" customHeight="1" x14ac:dyDescent="0.35">
      <c r="A72" s="10">
        <v>70</v>
      </c>
      <c r="B72" s="11" t="s">
        <v>100</v>
      </c>
      <c r="C72" s="12" t="s">
        <v>11</v>
      </c>
      <c r="D72" s="26" t="s">
        <v>36</v>
      </c>
      <c r="E72" s="14">
        <v>0.6</v>
      </c>
      <c r="F72" s="15">
        <v>1.8</v>
      </c>
      <c r="G72" s="16">
        <f t="shared" si="4"/>
        <v>1.2000000000000002</v>
      </c>
      <c r="H72" s="17">
        <f t="shared" si="5"/>
        <v>3</v>
      </c>
      <c r="I72" s="22" t="s">
        <v>13</v>
      </c>
    </row>
    <row r="73" spans="1:9" ht="18.75" customHeight="1" x14ac:dyDescent="0.35">
      <c r="A73" s="1">
        <v>71</v>
      </c>
      <c r="B73" s="2" t="s">
        <v>101</v>
      </c>
      <c r="C73" s="3" t="s">
        <v>15</v>
      </c>
      <c r="D73" s="21" t="s">
        <v>22</v>
      </c>
      <c r="E73" s="5">
        <v>1.1000000000000001</v>
      </c>
      <c r="F73" s="6">
        <v>2.2999999999999998</v>
      </c>
      <c r="G73" s="7">
        <f t="shared" si="4"/>
        <v>1.1999999999999997</v>
      </c>
      <c r="H73" s="8">
        <f t="shared" si="5"/>
        <v>2.0909090909090904</v>
      </c>
      <c r="I73" s="20" t="s">
        <v>17</v>
      </c>
    </row>
    <row r="74" spans="1:9" ht="18.75" customHeight="1" x14ac:dyDescent="0.35">
      <c r="A74" s="10">
        <v>72</v>
      </c>
      <c r="B74" s="11" t="s">
        <v>102</v>
      </c>
      <c r="C74" s="12" t="s">
        <v>11</v>
      </c>
      <c r="D74" s="19" t="s">
        <v>20</v>
      </c>
      <c r="E74" s="14">
        <v>0.6</v>
      </c>
      <c r="F74" s="15">
        <v>0.65</v>
      </c>
      <c r="G74" s="16">
        <f t="shared" si="4"/>
        <v>5.0000000000000044E-2</v>
      </c>
      <c r="H74" s="17">
        <f t="shared" si="5"/>
        <v>1.0833333333333335</v>
      </c>
      <c r="I74" s="22" t="s">
        <v>13</v>
      </c>
    </row>
    <row r="75" spans="1:9" ht="18.75" customHeight="1" x14ac:dyDescent="0.35">
      <c r="A75" s="1">
        <v>73</v>
      </c>
      <c r="B75" s="2" t="s">
        <v>103</v>
      </c>
      <c r="C75" s="3" t="s">
        <v>11</v>
      </c>
      <c r="D75" s="21" t="s">
        <v>22</v>
      </c>
      <c r="E75" s="5">
        <v>0.6</v>
      </c>
      <c r="F75" s="6">
        <v>0.65</v>
      </c>
      <c r="G75" s="7">
        <f t="shared" si="4"/>
        <v>5.0000000000000044E-2</v>
      </c>
      <c r="H75" s="8">
        <f t="shared" si="5"/>
        <v>1.0833333333333335</v>
      </c>
      <c r="I75" s="9" t="s">
        <v>13</v>
      </c>
    </row>
    <row r="76" spans="1:9" ht="18.75" customHeight="1" x14ac:dyDescent="0.35">
      <c r="A76" s="10">
        <v>74</v>
      </c>
      <c r="B76" s="11" t="s">
        <v>104</v>
      </c>
      <c r="C76" s="12" t="s">
        <v>19</v>
      </c>
      <c r="D76" s="25" t="s">
        <v>28</v>
      </c>
      <c r="E76" s="14">
        <v>0.6</v>
      </c>
      <c r="F76" s="15">
        <v>0.6</v>
      </c>
      <c r="G76" s="16">
        <f t="shared" si="4"/>
        <v>0</v>
      </c>
      <c r="H76" s="17">
        <f t="shared" si="5"/>
        <v>1</v>
      </c>
      <c r="I76" s="18" t="s">
        <v>17</v>
      </c>
    </row>
    <row r="77" spans="1:9" ht="18.75" customHeight="1" x14ac:dyDescent="0.35">
      <c r="A77" s="1">
        <v>75</v>
      </c>
      <c r="B77" s="2" t="s">
        <v>105</v>
      </c>
      <c r="C77" s="3" t="s">
        <v>15</v>
      </c>
      <c r="D77" s="19" t="s">
        <v>20</v>
      </c>
      <c r="E77" s="5">
        <v>1.1000000000000001</v>
      </c>
      <c r="F77" s="6">
        <v>1.1000000000000001</v>
      </c>
      <c r="G77" s="7">
        <f t="shared" si="4"/>
        <v>0</v>
      </c>
      <c r="H77" s="8">
        <f t="shared" si="5"/>
        <v>1</v>
      </c>
      <c r="I77" s="20" t="s">
        <v>17</v>
      </c>
    </row>
    <row r="78" spans="1:9" ht="18.75" customHeight="1" x14ac:dyDescent="0.35">
      <c r="A78" s="10">
        <v>76</v>
      </c>
      <c r="B78" s="11" t="s">
        <v>106</v>
      </c>
      <c r="C78" s="12" t="s">
        <v>82</v>
      </c>
      <c r="D78" s="13" t="s">
        <v>16</v>
      </c>
      <c r="E78" s="14">
        <v>1.1000000000000001</v>
      </c>
      <c r="F78" s="15">
        <v>1.1000000000000001</v>
      </c>
      <c r="G78" s="16">
        <f t="shared" si="4"/>
        <v>0</v>
      </c>
      <c r="H78" s="17">
        <f t="shared" si="5"/>
        <v>1</v>
      </c>
      <c r="I78" s="18" t="s">
        <v>17</v>
      </c>
    </row>
    <row r="79" spans="1:9" ht="18.75" customHeight="1" x14ac:dyDescent="0.35">
      <c r="A79" s="1">
        <v>77</v>
      </c>
      <c r="B79" s="2" t="s">
        <v>107</v>
      </c>
      <c r="C79" s="3" t="s">
        <v>75</v>
      </c>
      <c r="D79" s="25" t="s">
        <v>28</v>
      </c>
      <c r="E79" s="5">
        <v>1.1000000000000001</v>
      </c>
      <c r="F79" s="6">
        <v>1.1000000000000001</v>
      </c>
      <c r="G79" s="7">
        <f t="shared" si="4"/>
        <v>0</v>
      </c>
      <c r="H79" s="8">
        <f t="shared" si="5"/>
        <v>1</v>
      </c>
      <c r="I79" s="20" t="s">
        <v>17</v>
      </c>
    </row>
    <row r="80" spans="1:9" ht="18.75" customHeight="1" x14ac:dyDescent="0.35">
      <c r="A80" s="10">
        <v>78</v>
      </c>
      <c r="B80" s="11" t="s">
        <v>108</v>
      </c>
      <c r="C80" s="12" t="s">
        <v>32</v>
      </c>
      <c r="D80" s="26" t="s">
        <v>36</v>
      </c>
      <c r="E80" s="14">
        <v>0.6</v>
      </c>
      <c r="F80" s="15">
        <v>0.6</v>
      </c>
      <c r="G80" s="16">
        <f t="shared" si="4"/>
        <v>0</v>
      </c>
      <c r="H80" s="17">
        <f t="shared" si="5"/>
        <v>1</v>
      </c>
      <c r="I80" s="18" t="s">
        <v>17</v>
      </c>
    </row>
    <row r="81" spans="1:9" ht="18.75" customHeight="1" x14ac:dyDescent="0.35">
      <c r="A81" s="1">
        <v>79</v>
      </c>
      <c r="B81" s="2" t="s">
        <v>109</v>
      </c>
      <c r="C81" s="3" t="s">
        <v>32</v>
      </c>
      <c r="D81" s="24" t="s">
        <v>26</v>
      </c>
      <c r="E81" s="5">
        <v>0.6</v>
      </c>
      <c r="F81" s="6">
        <v>0.6</v>
      </c>
      <c r="G81" s="7">
        <f t="shared" si="4"/>
        <v>0</v>
      </c>
      <c r="H81" s="8">
        <f t="shared" si="5"/>
        <v>1</v>
      </c>
      <c r="I81" s="20" t="s">
        <v>17</v>
      </c>
    </row>
    <row r="82" spans="1:9" ht="18.75" customHeight="1" x14ac:dyDescent="0.35">
      <c r="A82" s="10">
        <v>80</v>
      </c>
      <c r="B82" s="11" t="s">
        <v>110</v>
      </c>
      <c r="C82" s="12" t="s">
        <v>11</v>
      </c>
      <c r="D82" s="25" t="s">
        <v>28</v>
      </c>
      <c r="E82" s="14">
        <v>0.6</v>
      </c>
      <c r="F82" s="15">
        <v>2.4</v>
      </c>
      <c r="G82" s="16">
        <f t="shared" si="4"/>
        <v>1.7999999999999998</v>
      </c>
      <c r="H82" s="17">
        <f t="shared" si="5"/>
        <v>4</v>
      </c>
      <c r="I82" s="18" t="s">
        <v>17</v>
      </c>
    </row>
    <row r="83" spans="1:9" ht="18.75" customHeight="1" x14ac:dyDescent="0.35">
      <c r="A83" s="1">
        <v>81</v>
      </c>
      <c r="B83" s="2" t="s">
        <v>111</v>
      </c>
      <c r="C83" s="3" t="s">
        <v>11</v>
      </c>
      <c r="D83" s="24" t="s">
        <v>26</v>
      </c>
      <c r="E83" s="5">
        <v>0.6</v>
      </c>
      <c r="F83" s="6">
        <v>0.6</v>
      </c>
      <c r="G83" s="7">
        <f t="shared" si="4"/>
        <v>0</v>
      </c>
      <c r="H83" s="8">
        <f t="shared" si="5"/>
        <v>1</v>
      </c>
      <c r="I83" s="9" t="s">
        <v>13</v>
      </c>
    </row>
    <row r="84" spans="1:9" ht="18.75" customHeight="1" x14ac:dyDescent="0.35">
      <c r="A84" s="10">
        <v>82</v>
      </c>
      <c r="B84" s="11" t="s">
        <v>112</v>
      </c>
      <c r="C84" s="12" t="s">
        <v>11</v>
      </c>
      <c r="D84" s="4" t="s">
        <v>12</v>
      </c>
      <c r="E84" s="14">
        <v>0.6</v>
      </c>
      <c r="F84" s="15">
        <v>1.5</v>
      </c>
      <c r="G84" s="16">
        <f t="shared" si="4"/>
        <v>0.9</v>
      </c>
      <c r="H84" s="17">
        <f t="shared" si="5"/>
        <v>2.5</v>
      </c>
      <c r="I84" s="22" t="s">
        <v>13</v>
      </c>
    </row>
    <row r="85" spans="1:9" ht="18.75" customHeight="1" x14ac:dyDescent="0.35">
      <c r="A85" s="1">
        <v>83</v>
      </c>
      <c r="B85" s="2" t="s">
        <v>113</v>
      </c>
      <c r="C85" s="3" t="s">
        <v>11</v>
      </c>
      <c r="D85" s="24" t="s">
        <v>26</v>
      </c>
      <c r="E85" s="5">
        <v>0.6</v>
      </c>
      <c r="F85" s="6">
        <v>0.77500000000000002</v>
      </c>
      <c r="G85" s="7">
        <f t="shared" si="4"/>
        <v>0.17500000000000004</v>
      </c>
      <c r="H85" s="8">
        <f t="shared" si="5"/>
        <v>1.2916666666666667</v>
      </c>
      <c r="I85" s="9" t="s">
        <v>13</v>
      </c>
    </row>
    <row r="86" spans="1:9" ht="18.75" customHeight="1" x14ac:dyDescent="0.35">
      <c r="A86" s="10">
        <v>84</v>
      </c>
      <c r="B86" s="11" t="s">
        <v>114</v>
      </c>
      <c r="C86" s="12" t="s">
        <v>11</v>
      </c>
      <c r="D86" s="13" t="s">
        <v>16</v>
      </c>
      <c r="E86" s="14">
        <v>0.6</v>
      </c>
      <c r="F86" s="15">
        <v>1.05</v>
      </c>
      <c r="G86" s="16">
        <f t="shared" si="4"/>
        <v>0.45000000000000007</v>
      </c>
      <c r="H86" s="17">
        <f t="shared" si="5"/>
        <v>1.7500000000000002</v>
      </c>
      <c r="I86" s="22" t="s">
        <v>13</v>
      </c>
    </row>
    <row r="87" spans="1:9" ht="18.75" customHeight="1" x14ac:dyDescent="0.35">
      <c r="A87" s="1">
        <v>85</v>
      </c>
      <c r="B87" s="2" t="s">
        <v>115</v>
      </c>
      <c r="C87" s="3" t="s">
        <v>11</v>
      </c>
      <c r="D87" s="25" t="s">
        <v>28</v>
      </c>
      <c r="E87" s="5">
        <v>0.6</v>
      </c>
      <c r="F87" s="6">
        <v>0.65</v>
      </c>
      <c r="G87" s="7">
        <f t="shared" si="4"/>
        <v>5.0000000000000044E-2</v>
      </c>
      <c r="H87" s="8">
        <f t="shared" si="5"/>
        <v>1.0833333333333335</v>
      </c>
      <c r="I87" s="9" t="s">
        <v>13</v>
      </c>
    </row>
    <row r="88" spans="1:9" ht="18.75" customHeight="1" x14ac:dyDescent="0.35">
      <c r="A88" s="10">
        <v>86</v>
      </c>
      <c r="B88" s="11" t="s">
        <v>116</v>
      </c>
      <c r="C88" s="12" t="s">
        <v>11</v>
      </c>
      <c r="D88" s="24" t="s">
        <v>26</v>
      </c>
      <c r="E88" s="14">
        <v>0.6</v>
      </c>
      <c r="F88" s="15">
        <v>0.77500000000000002</v>
      </c>
      <c r="G88" s="16">
        <f t="shared" si="4"/>
        <v>0.17500000000000004</v>
      </c>
      <c r="H88" s="17">
        <f t="shared" si="5"/>
        <v>1.2916666666666667</v>
      </c>
      <c r="I88" s="22" t="s">
        <v>13</v>
      </c>
    </row>
    <row r="89" spans="1:9" ht="18.75" customHeight="1" x14ac:dyDescent="0.35">
      <c r="A89" s="1">
        <v>87</v>
      </c>
      <c r="B89" s="2" t="s">
        <v>117</v>
      </c>
      <c r="C89" s="3" t="s">
        <v>11</v>
      </c>
      <c r="D89" s="23" t="s">
        <v>24</v>
      </c>
      <c r="E89" s="5">
        <v>0.6</v>
      </c>
      <c r="F89" s="6">
        <v>0.6</v>
      </c>
      <c r="G89" s="7">
        <f t="shared" si="4"/>
        <v>0</v>
      </c>
      <c r="H89" s="8">
        <f t="shared" si="5"/>
        <v>1</v>
      </c>
      <c r="I89" s="9" t="s">
        <v>13</v>
      </c>
    </row>
    <row r="90" spans="1:9" ht="18.75" customHeight="1" x14ac:dyDescent="0.35">
      <c r="A90" s="10">
        <v>88</v>
      </c>
      <c r="B90" s="11" t="s">
        <v>118</v>
      </c>
      <c r="C90" s="12" t="s">
        <v>11</v>
      </c>
      <c r="D90" s="24" t="s">
        <v>26</v>
      </c>
      <c r="E90" s="14">
        <v>0.6</v>
      </c>
      <c r="F90" s="15">
        <v>0.6</v>
      </c>
      <c r="G90" s="16">
        <f t="shared" si="4"/>
        <v>0</v>
      </c>
      <c r="H90" s="17">
        <f t="shared" si="5"/>
        <v>1</v>
      </c>
      <c r="I90" s="22" t="s">
        <v>13</v>
      </c>
    </row>
    <row r="91" spans="1:9" ht="18.75" customHeight="1" x14ac:dyDescent="0.35">
      <c r="A91" s="1">
        <v>89</v>
      </c>
      <c r="B91" s="2" t="s">
        <v>119</v>
      </c>
      <c r="C91" s="3" t="s">
        <v>120</v>
      </c>
      <c r="D91" s="4" t="s">
        <v>12</v>
      </c>
      <c r="E91" s="5">
        <v>0.6</v>
      </c>
      <c r="F91" s="6">
        <v>0.6</v>
      </c>
      <c r="G91" s="7">
        <f t="shared" si="4"/>
        <v>0</v>
      </c>
      <c r="H91" s="8">
        <f t="shared" si="5"/>
        <v>1</v>
      </c>
      <c r="I91" s="20" t="s">
        <v>17</v>
      </c>
    </row>
    <row r="92" spans="1:9" ht="18.75" customHeight="1" x14ac:dyDescent="0.35">
      <c r="A92" s="10">
        <v>90</v>
      </c>
      <c r="B92" s="11" t="s">
        <v>121</v>
      </c>
      <c r="C92" s="12" t="s">
        <v>11</v>
      </c>
      <c r="D92" s="23" t="s">
        <v>24</v>
      </c>
      <c r="E92" s="14">
        <v>0.6</v>
      </c>
      <c r="F92" s="15">
        <v>0.6</v>
      </c>
      <c r="G92" s="16">
        <f t="shared" si="4"/>
        <v>0</v>
      </c>
      <c r="H92" s="17">
        <f t="shared" si="5"/>
        <v>1</v>
      </c>
      <c r="I92" s="22" t="s">
        <v>13</v>
      </c>
    </row>
    <row r="93" spans="1:9" ht="18.75" customHeight="1" x14ac:dyDescent="0.35">
      <c r="A93" s="1">
        <v>91</v>
      </c>
      <c r="B93" s="2" t="s">
        <v>122</v>
      </c>
      <c r="C93" s="3" t="s">
        <v>11</v>
      </c>
      <c r="D93" s="25" t="s">
        <v>28</v>
      </c>
      <c r="E93" s="5">
        <v>0.6</v>
      </c>
      <c r="F93" s="6">
        <v>0.6</v>
      </c>
      <c r="G93" s="7">
        <f t="shared" si="4"/>
        <v>0</v>
      </c>
      <c r="H93" s="8">
        <f t="shared" si="5"/>
        <v>1</v>
      </c>
      <c r="I93" s="9" t="s">
        <v>13</v>
      </c>
    </row>
    <row r="94" spans="1:9" ht="18.75" customHeight="1" x14ac:dyDescent="0.35">
      <c r="A94" s="10">
        <v>92</v>
      </c>
      <c r="B94" s="11" t="s">
        <v>123</v>
      </c>
      <c r="C94" s="12" t="s">
        <v>11</v>
      </c>
      <c r="D94" s="23" t="s">
        <v>24</v>
      </c>
      <c r="E94" s="14">
        <v>0.6</v>
      </c>
      <c r="F94" s="15">
        <v>0.6</v>
      </c>
      <c r="G94" s="16">
        <f t="shared" si="4"/>
        <v>0</v>
      </c>
      <c r="H94" s="17">
        <f t="shared" si="5"/>
        <v>1</v>
      </c>
      <c r="I94" s="22" t="s">
        <v>13</v>
      </c>
    </row>
    <row r="95" spans="1:9" ht="18.75" customHeight="1" x14ac:dyDescent="0.35">
      <c r="A95" s="1">
        <v>93</v>
      </c>
      <c r="B95" s="2" t="s">
        <v>124</v>
      </c>
      <c r="C95" s="3" t="s">
        <v>11</v>
      </c>
      <c r="D95" s="25" t="s">
        <v>28</v>
      </c>
      <c r="E95" s="5">
        <v>0.6</v>
      </c>
      <c r="F95" s="6">
        <v>0.6</v>
      </c>
      <c r="G95" s="7">
        <f t="shared" si="4"/>
        <v>0</v>
      </c>
      <c r="H95" s="8">
        <f t="shared" si="5"/>
        <v>1</v>
      </c>
      <c r="I95" s="20" t="s">
        <v>17</v>
      </c>
    </row>
    <row r="96" spans="1:9" ht="18.75" customHeight="1" x14ac:dyDescent="0.35">
      <c r="A96" s="10">
        <v>94</v>
      </c>
      <c r="B96" s="11" t="s">
        <v>125</v>
      </c>
      <c r="C96" s="12" t="s">
        <v>11</v>
      </c>
      <c r="D96" s="21" t="s">
        <v>22</v>
      </c>
      <c r="E96" s="14">
        <v>0.6</v>
      </c>
      <c r="F96" s="15">
        <v>1.075</v>
      </c>
      <c r="G96" s="16">
        <f t="shared" si="4"/>
        <v>0.47499999999999998</v>
      </c>
      <c r="H96" s="17">
        <f t="shared" si="5"/>
        <v>1.7916666666666667</v>
      </c>
      <c r="I96" s="22" t="s">
        <v>13</v>
      </c>
    </row>
    <row r="97" spans="1:9" ht="18.75" customHeight="1" x14ac:dyDescent="0.35">
      <c r="A97" s="1">
        <v>95</v>
      </c>
      <c r="B97" s="2" t="s">
        <v>126</v>
      </c>
      <c r="C97" s="3" t="s">
        <v>11</v>
      </c>
      <c r="D97" s="21" t="s">
        <v>22</v>
      </c>
      <c r="E97" s="5">
        <v>0.6</v>
      </c>
      <c r="F97" s="6">
        <v>0.6</v>
      </c>
      <c r="G97" s="7">
        <f t="shared" si="4"/>
        <v>0</v>
      </c>
      <c r="H97" s="8">
        <f t="shared" si="5"/>
        <v>1</v>
      </c>
      <c r="I97" s="9" t="s">
        <v>13</v>
      </c>
    </row>
    <row r="98" spans="1:9" ht="18.75" customHeight="1" x14ac:dyDescent="0.35">
      <c r="A98" s="10">
        <v>96</v>
      </c>
      <c r="B98" s="11" t="s">
        <v>127</v>
      </c>
      <c r="C98" s="12" t="s">
        <v>11</v>
      </c>
      <c r="D98" s="23" t="s">
        <v>24</v>
      </c>
      <c r="E98" s="14">
        <v>0.6</v>
      </c>
      <c r="F98" s="15">
        <v>0.6</v>
      </c>
      <c r="G98" s="16">
        <f t="shared" si="4"/>
        <v>0</v>
      </c>
      <c r="H98" s="17">
        <f t="shared" si="5"/>
        <v>1</v>
      </c>
      <c r="I98" s="22" t="s">
        <v>13</v>
      </c>
    </row>
    <row r="99" spans="1:9" ht="18.75" customHeight="1" x14ac:dyDescent="0.35">
      <c r="A99" s="1">
        <v>97</v>
      </c>
      <c r="B99" s="2" t="s">
        <v>128</v>
      </c>
      <c r="C99" s="3" t="s">
        <v>11</v>
      </c>
      <c r="D99" s="25" t="s">
        <v>28</v>
      </c>
      <c r="E99" s="5">
        <v>0.6</v>
      </c>
      <c r="F99" s="6">
        <v>0.6</v>
      </c>
      <c r="G99" s="7">
        <f t="shared" ref="G99:G106" si="6">F99-E99</f>
        <v>0</v>
      </c>
      <c r="H99" s="8">
        <f t="shared" ref="H99:H106" si="7">IFERROR(F99/E99,"—")</f>
        <v>1</v>
      </c>
      <c r="I99" s="9" t="s">
        <v>13</v>
      </c>
    </row>
    <row r="100" spans="1:9" ht="18.75" customHeight="1" x14ac:dyDescent="0.35">
      <c r="A100" s="10">
        <v>98</v>
      </c>
      <c r="B100" s="11" t="s">
        <v>129</v>
      </c>
      <c r="C100" s="12" t="s">
        <v>75</v>
      </c>
      <c r="D100" s="19" t="s">
        <v>20</v>
      </c>
      <c r="E100" s="14">
        <v>4.2</v>
      </c>
      <c r="F100" s="15">
        <v>4.2</v>
      </c>
      <c r="G100" s="16">
        <f t="shared" si="6"/>
        <v>0</v>
      </c>
      <c r="H100" s="17">
        <f t="shared" si="7"/>
        <v>1</v>
      </c>
      <c r="I100" s="18" t="s">
        <v>17</v>
      </c>
    </row>
    <row r="101" spans="1:9" ht="18.75" customHeight="1" x14ac:dyDescent="0.35">
      <c r="A101" s="1">
        <v>99</v>
      </c>
      <c r="B101" s="2" t="s">
        <v>130</v>
      </c>
      <c r="C101" s="3" t="s">
        <v>77</v>
      </c>
      <c r="D101" s="24" t="s">
        <v>26</v>
      </c>
      <c r="E101" s="5">
        <v>1.1000000000000001</v>
      </c>
      <c r="F101" s="6">
        <v>1.1000000000000001</v>
      </c>
      <c r="G101" s="7">
        <f t="shared" si="6"/>
        <v>0</v>
      </c>
      <c r="H101" s="8">
        <f t="shared" si="7"/>
        <v>1</v>
      </c>
      <c r="I101" s="20" t="s">
        <v>17</v>
      </c>
    </row>
    <row r="102" spans="1:9" ht="18.75" customHeight="1" x14ac:dyDescent="0.35">
      <c r="A102" s="10">
        <v>100</v>
      </c>
      <c r="B102" s="11" t="s">
        <v>131</v>
      </c>
      <c r="C102" s="12" t="s">
        <v>11</v>
      </c>
      <c r="D102" s="26" t="s">
        <v>36</v>
      </c>
      <c r="E102" s="14">
        <v>0.6</v>
      </c>
      <c r="F102" s="15">
        <v>0.6</v>
      </c>
      <c r="G102" s="16">
        <f t="shared" si="6"/>
        <v>0</v>
      </c>
      <c r="H102" s="17">
        <f t="shared" si="7"/>
        <v>1</v>
      </c>
      <c r="I102" s="22" t="s">
        <v>13</v>
      </c>
    </row>
    <row r="103" spans="1:9" ht="18.75" customHeight="1" x14ac:dyDescent="0.35">
      <c r="A103" s="1">
        <v>101</v>
      </c>
      <c r="B103" s="2" t="s">
        <v>132</v>
      </c>
      <c r="C103" s="3" t="s">
        <v>11</v>
      </c>
      <c r="D103" s="23" t="s">
        <v>24</v>
      </c>
      <c r="E103" s="5">
        <v>0.6</v>
      </c>
      <c r="F103" s="6">
        <v>0.6</v>
      </c>
      <c r="G103" s="7">
        <f t="shared" si="6"/>
        <v>0</v>
      </c>
      <c r="H103" s="8">
        <f t="shared" si="7"/>
        <v>1</v>
      </c>
      <c r="I103" s="9" t="s">
        <v>13</v>
      </c>
    </row>
    <row r="104" spans="1:9" ht="18.75" customHeight="1" x14ac:dyDescent="0.35">
      <c r="A104" s="10">
        <v>102</v>
      </c>
      <c r="B104" s="11" t="s">
        <v>133</v>
      </c>
      <c r="C104" s="12" t="s">
        <v>11</v>
      </c>
      <c r="D104" s="13" t="s">
        <v>16</v>
      </c>
      <c r="E104" s="14">
        <v>0.6</v>
      </c>
      <c r="F104" s="15">
        <v>0.6</v>
      </c>
      <c r="G104" s="16">
        <f t="shared" si="6"/>
        <v>0</v>
      </c>
      <c r="H104" s="17">
        <f t="shared" si="7"/>
        <v>1</v>
      </c>
      <c r="I104" s="22" t="s">
        <v>13</v>
      </c>
    </row>
    <row r="105" spans="1:9" ht="18.75" customHeight="1" x14ac:dyDescent="0.35">
      <c r="A105" s="1">
        <v>103</v>
      </c>
      <c r="B105" s="2" t="s">
        <v>134</v>
      </c>
      <c r="C105" s="3" t="s">
        <v>11</v>
      </c>
      <c r="D105" s="23" t="s">
        <v>24</v>
      </c>
      <c r="E105" s="5">
        <v>0.6</v>
      </c>
      <c r="F105" s="6">
        <v>0.6</v>
      </c>
      <c r="G105" s="7">
        <f t="shared" si="6"/>
        <v>0</v>
      </c>
      <c r="H105" s="8">
        <f t="shared" si="7"/>
        <v>1</v>
      </c>
      <c r="I105" s="9" t="s">
        <v>13</v>
      </c>
    </row>
    <row r="106" spans="1:9" ht="18.75" customHeight="1" x14ac:dyDescent="0.35">
      <c r="A106" s="10">
        <v>104</v>
      </c>
      <c r="B106" s="11" t="s">
        <v>135</v>
      </c>
      <c r="C106" s="12" t="s">
        <v>15</v>
      </c>
      <c r="D106" s="19" t="s">
        <v>20</v>
      </c>
      <c r="E106" s="14">
        <v>4.2</v>
      </c>
      <c r="F106" s="15">
        <v>4.2</v>
      </c>
      <c r="G106" s="16">
        <f t="shared" si="6"/>
        <v>0</v>
      </c>
      <c r="H106" s="17">
        <f t="shared" si="7"/>
        <v>1</v>
      </c>
      <c r="I106" s="22" t="s">
        <v>13</v>
      </c>
    </row>
  </sheetData>
  <mergeCells count="1">
    <mergeCell ref="A1:I1"/>
  </mergeCells>
  <pageMargins left="0.75" right="0.75" top="1" bottom="1" header="0.511811023622047" footer="0.511811023622047"/>
  <pageSetup paperSize="9" orientation="portrait" horizontalDpi="300" verticalDpi="30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F41"/>
  <sheetViews>
    <sheetView zoomScale="67" zoomScaleNormal="100" workbookViewId="0">
      <pane ySplit="2" topLeftCell="A8" activePane="bottomLeft" state="frozen"/>
      <selection pane="bottomLeft" activeCell="F19" sqref="F19"/>
    </sheetView>
  </sheetViews>
  <sheetFormatPr defaultColWidth="8.6328125" defaultRowHeight="14.5" x14ac:dyDescent="0.35"/>
  <cols>
    <col min="1" max="1" width="5" customWidth="1"/>
    <col min="2" max="2" width="32.90625" customWidth="1"/>
    <col min="3" max="3" width="24.08984375" customWidth="1"/>
    <col min="4" max="4" width="54.90625" customWidth="1"/>
    <col min="5" max="5" width="45.90625" customWidth="1"/>
    <col min="6" max="6" width="68.7265625" customWidth="1"/>
  </cols>
  <sheetData>
    <row r="1" spans="1:6" ht="37.5" customHeight="1" x14ac:dyDescent="0.35">
      <c r="A1" s="70" t="s">
        <v>136</v>
      </c>
      <c r="B1" s="70"/>
      <c r="C1" s="70"/>
      <c r="D1" s="70"/>
      <c r="E1" s="70"/>
      <c r="F1" s="70"/>
    </row>
    <row r="2" spans="1:6" ht="30" customHeight="1" x14ac:dyDescent="0.35">
      <c r="A2" s="62" t="s">
        <v>1</v>
      </c>
      <c r="B2" s="63" t="s">
        <v>2</v>
      </c>
      <c r="C2" s="63" t="s">
        <v>3</v>
      </c>
      <c r="D2" s="63" t="s">
        <v>4</v>
      </c>
      <c r="E2" s="63" t="s">
        <v>137</v>
      </c>
      <c r="F2" s="63" t="s">
        <v>138</v>
      </c>
    </row>
    <row r="3" spans="1:6" ht="18.75" customHeight="1" x14ac:dyDescent="0.35">
      <c r="A3" s="1">
        <v>1</v>
      </c>
      <c r="B3" s="2" t="s">
        <v>139</v>
      </c>
      <c r="C3" s="3" t="s">
        <v>11</v>
      </c>
      <c r="D3" s="100" t="s">
        <v>26</v>
      </c>
      <c r="E3" s="27" t="s">
        <v>140</v>
      </c>
      <c r="F3" s="28">
        <v>6</v>
      </c>
    </row>
    <row r="4" spans="1:6" ht="18.75" customHeight="1" x14ac:dyDescent="0.35">
      <c r="A4" s="10">
        <v>2</v>
      </c>
      <c r="B4" s="11" t="s">
        <v>141</v>
      </c>
      <c r="C4" s="12" t="s">
        <v>11</v>
      </c>
      <c r="D4" s="100" t="s">
        <v>26</v>
      </c>
      <c r="E4" s="29" t="s">
        <v>142</v>
      </c>
      <c r="F4" s="30">
        <v>2</v>
      </c>
    </row>
    <row r="5" spans="1:6" ht="18.75" customHeight="1" x14ac:dyDescent="0.35">
      <c r="A5" s="1">
        <v>3</v>
      </c>
      <c r="B5" s="2" t="s">
        <v>143</v>
      </c>
      <c r="C5" s="3" t="s">
        <v>144</v>
      </c>
      <c r="D5" s="100" t="s">
        <v>26</v>
      </c>
      <c r="E5" s="31" t="s">
        <v>145</v>
      </c>
      <c r="F5" s="28">
        <v>1.5</v>
      </c>
    </row>
    <row r="6" spans="1:6" ht="18.75" customHeight="1" x14ac:dyDescent="0.35">
      <c r="A6" s="10">
        <v>4</v>
      </c>
      <c r="B6" s="11" t="s">
        <v>146</v>
      </c>
      <c r="C6" s="12" t="s">
        <v>11</v>
      </c>
      <c r="D6" s="100" t="s">
        <v>26</v>
      </c>
      <c r="E6" s="32" t="s">
        <v>147</v>
      </c>
      <c r="F6" s="30">
        <v>0.8</v>
      </c>
    </row>
    <row r="7" spans="1:6" ht="18.75" customHeight="1" x14ac:dyDescent="0.35">
      <c r="A7" s="1">
        <v>5</v>
      </c>
      <c r="B7" s="2" t="s">
        <v>148</v>
      </c>
      <c r="C7" s="3" t="s">
        <v>11</v>
      </c>
      <c r="D7" s="101" t="s">
        <v>20</v>
      </c>
      <c r="E7" s="27" t="s">
        <v>140</v>
      </c>
      <c r="F7" s="28">
        <v>5.5</v>
      </c>
    </row>
    <row r="8" spans="1:6" ht="18.75" customHeight="1" x14ac:dyDescent="0.35">
      <c r="A8" s="10">
        <v>6</v>
      </c>
      <c r="B8" s="11" t="s">
        <v>149</v>
      </c>
      <c r="C8" s="12" t="s">
        <v>11</v>
      </c>
      <c r="D8" s="101" t="s">
        <v>20</v>
      </c>
      <c r="E8" s="29" t="s">
        <v>142</v>
      </c>
      <c r="F8" s="30">
        <v>2</v>
      </c>
    </row>
    <row r="9" spans="1:6" ht="18.75" customHeight="1" x14ac:dyDescent="0.35">
      <c r="A9" s="1">
        <v>7</v>
      </c>
      <c r="B9" s="2" t="s">
        <v>150</v>
      </c>
      <c r="C9" s="3" t="s">
        <v>11</v>
      </c>
      <c r="D9" s="101" t="s">
        <v>20</v>
      </c>
      <c r="E9" s="31" t="s">
        <v>145</v>
      </c>
      <c r="F9" s="28">
        <v>1</v>
      </c>
    </row>
    <row r="10" spans="1:6" ht="18.75" customHeight="1" x14ac:dyDescent="0.35">
      <c r="A10" s="10">
        <v>8</v>
      </c>
      <c r="B10" s="11" t="s">
        <v>151</v>
      </c>
      <c r="C10" s="12" t="s">
        <v>11</v>
      </c>
      <c r="D10" s="101" t="s">
        <v>20</v>
      </c>
      <c r="E10" s="33" t="s">
        <v>152</v>
      </c>
      <c r="F10" s="30">
        <v>0.6</v>
      </c>
    </row>
    <row r="11" spans="1:6" ht="18.75" customHeight="1" x14ac:dyDescent="0.35">
      <c r="A11" s="1">
        <v>9</v>
      </c>
      <c r="B11" s="2" t="s">
        <v>153</v>
      </c>
      <c r="C11" s="3" t="s">
        <v>11</v>
      </c>
      <c r="D11" s="99" t="s">
        <v>12</v>
      </c>
      <c r="E11" s="27" t="s">
        <v>140</v>
      </c>
      <c r="F11" s="28">
        <v>6</v>
      </c>
    </row>
    <row r="12" spans="1:6" ht="18.75" customHeight="1" x14ac:dyDescent="0.35">
      <c r="A12" s="10">
        <v>10</v>
      </c>
      <c r="B12" s="11" t="s">
        <v>154</v>
      </c>
      <c r="C12" s="12" t="s">
        <v>11</v>
      </c>
      <c r="D12" s="99" t="s">
        <v>12</v>
      </c>
      <c r="E12" s="31" t="s">
        <v>145</v>
      </c>
      <c r="F12" s="30">
        <v>1</v>
      </c>
    </row>
    <row r="13" spans="1:6" ht="18.75" customHeight="1" x14ac:dyDescent="0.35">
      <c r="A13" s="1">
        <v>11</v>
      </c>
      <c r="B13" s="2" t="s">
        <v>155</v>
      </c>
      <c r="C13" s="3" t="s">
        <v>19</v>
      </c>
      <c r="D13" s="99" t="s">
        <v>12</v>
      </c>
      <c r="E13" s="32" t="s">
        <v>147</v>
      </c>
      <c r="F13" s="28">
        <v>0.8</v>
      </c>
    </row>
    <row r="14" spans="1:6" ht="18.75" customHeight="1" x14ac:dyDescent="0.35">
      <c r="A14" s="10">
        <v>12</v>
      </c>
      <c r="B14" s="11" t="s">
        <v>156</v>
      </c>
      <c r="C14" s="12" t="s">
        <v>11</v>
      </c>
      <c r="D14" s="102" t="s">
        <v>36</v>
      </c>
      <c r="E14" s="27" t="s">
        <v>140</v>
      </c>
      <c r="F14" s="30">
        <v>6.5</v>
      </c>
    </row>
    <row r="15" spans="1:6" ht="18.75" customHeight="1" x14ac:dyDescent="0.35">
      <c r="A15" s="1">
        <v>13</v>
      </c>
      <c r="B15" s="2" t="s">
        <v>157</v>
      </c>
      <c r="C15" s="3" t="s">
        <v>11</v>
      </c>
      <c r="D15" s="102" t="s">
        <v>36</v>
      </c>
      <c r="E15" s="29" t="s">
        <v>142</v>
      </c>
      <c r="F15" s="28">
        <v>1.5</v>
      </c>
    </row>
    <row r="16" spans="1:6" ht="18.75" customHeight="1" x14ac:dyDescent="0.35">
      <c r="A16" s="10">
        <v>14</v>
      </c>
      <c r="B16" s="11" t="s">
        <v>158</v>
      </c>
      <c r="C16" s="12" t="s">
        <v>11</v>
      </c>
      <c r="D16" s="102" t="s">
        <v>36</v>
      </c>
      <c r="E16" s="31" t="s">
        <v>145</v>
      </c>
      <c r="F16" s="30">
        <v>1</v>
      </c>
    </row>
    <row r="17" spans="1:6" ht="18.75" customHeight="1" x14ac:dyDescent="0.35">
      <c r="A17" s="1">
        <v>15</v>
      </c>
      <c r="B17" s="2" t="s">
        <v>159</v>
      </c>
      <c r="C17" s="3" t="s">
        <v>11</v>
      </c>
      <c r="D17" s="102" t="s">
        <v>36</v>
      </c>
      <c r="E17" s="33" t="s">
        <v>152</v>
      </c>
      <c r="F17" s="28">
        <v>0.6</v>
      </c>
    </row>
    <row r="18" spans="1:6" ht="18.75" customHeight="1" x14ac:dyDescent="0.35">
      <c r="A18" s="10">
        <v>16</v>
      </c>
      <c r="B18" s="11" t="s">
        <v>160</v>
      </c>
      <c r="C18" s="12" t="s">
        <v>11</v>
      </c>
      <c r="D18" s="98" t="s">
        <v>16</v>
      </c>
      <c r="E18" s="27" t="s">
        <v>140</v>
      </c>
      <c r="F18" s="30">
        <v>4.76</v>
      </c>
    </row>
    <row r="19" spans="1:6" ht="18.75" customHeight="1" x14ac:dyDescent="0.35">
      <c r="A19" s="1">
        <v>17</v>
      </c>
      <c r="B19" s="2" t="s">
        <v>161</v>
      </c>
      <c r="C19" s="3" t="s">
        <v>11</v>
      </c>
      <c r="D19" s="98" t="s">
        <v>16</v>
      </c>
      <c r="E19" s="29" t="s">
        <v>142</v>
      </c>
      <c r="F19" s="28">
        <v>3.08</v>
      </c>
    </row>
    <row r="20" spans="1:6" ht="18.75" customHeight="1" x14ac:dyDescent="0.35">
      <c r="A20" s="10">
        <v>18</v>
      </c>
      <c r="B20" s="11" t="s">
        <v>162</v>
      </c>
      <c r="C20" s="12" t="s">
        <v>11</v>
      </c>
      <c r="D20" s="98" t="s">
        <v>16</v>
      </c>
      <c r="E20" s="31" t="s">
        <v>145</v>
      </c>
      <c r="F20" s="30">
        <v>3.36</v>
      </c>
    </row>
    <row r="21" spans="1:6" ht="18.75" customHeight="1" x14ac:dyDescent="0.35">
      <c r="A21" s="1">
        <v>19</v>
      </c>
      <c r="B21" s="2" t="s">
        <v>163</v>
      </c>
      <c r="C21" s="3" t="s">
        <v>11</v>
      </c>
      <c r="D21" s="98" t="s">
        <v>16</v>
      </c>
      <c r="E21" s="33" t="s">
        <v>152</v>
      </c>
      <c r="F21" s="28">
        <v>0.6</v>
      </c>
    </row>
    <row r="22" spans="1:6" ht="18.75" customHeight="1" x14ac:dyDescent="0.35">
      <c r="A22" s="10">
        <v>20</v>
      </c>
      <c r="B22" s="11" t="s">
        <v>164</v>
      </c>
      <c r="C22" s="12" t="s">
        <v>11</v>
      </c>
      <c r="D22" s="21" t="s">
        <v>22</v>
      </c>
      <c r="E22" s="34" t="s">
        <v>165</v>
      </c>
      <c r="F22" s="30">
        <v>6.16</v>
      </c>
    </row>
    <row r="23" spans="1:6" ht="18.75" customHeight="1" x14ac:dyDescent="0.35">
      <c r="A23" s="1">
        <v>21</v>
      </c>
      <c r="B23" s="2" t="s">
        <v>166</v>
      </c>
      <c r="C23" s="3" t="s">
        <v>11</v>
      </c>
      <c r="D23" s="96" t="s">
        <v>22</v>
      </c>
      <c r="E23" s="34" t="s">
        <v>165</v>
      </c>
      <c r="F23" s="28">
        <v>3.92</v>
      </c>
    </row>
    <row r="24" spans="1:6" ht="18.75" customHeight="1" x14ac:dyDescent="0.35">
      <c r="A24" s="10">
        <v>22</v>
      </c>
      <c r="B24" s="11" t="s">
        <v>167</v>
      </c>
      <c r="C24" s="12" t="s">
        <v>11</v>
      </c>
      <c r="D24" s="96" t="s">
        <v>22</v>
      </c>
      <c r="E24" s="34" t="s">
        <v>165</v>
      </c>
      <c r="F24" s="30">
        <v>2.2400000000000002</v>
      </c>
    </row>
    <row r="25" spans="1:6" ht="18.75" customHeight="1" x14ac:dyDescent="0.35">
      <c r="A25" s="1">
        <v>23</v>
      </c>
      <c r="B25" s="2" t="s">
        <v>168</v>
      </c>
      <c r="C25" s="3" t="s">
        <v>11</v>
      </c>
      <c r="D25" s="96" t="s">
        <v>22</v>
      </c>
      <c r="E25" s="34" t="s">
        <v>165</v>
      </c>
      <c r="F25" s="28">
        <v>0.84</v>
      </c>
    </row>
    <row r="26" spans="1:6" ht="18.75" customHeight="1" x14ac:dyDescent="0.35">
      <c r="A26" s="10">
        <v>24</v>
      </c>
      <c r="B26" s="11" t="s">
        <v>169</v>
      </c>
      <c r="C26" s="12" t="s">
        <v>11</v>
      </c>
      <c r="D26" s="97" t="s">
        <v>24</v>
      </c>
      <c r="E26" s="27" t="s">
        <v>140</v>
      </c>
      <c r="F26" s="30">
        <v>5</v>
      </c>
    </row>
    <row r="27" spans="1:6" ht="18.75" customHeight="1" x14ac:dyDescent="0.35">
      <c r="A27" s="1">
        <v>25</v>
      </c>
      <c r="B27" s="2" t="s">
        <v>170</v>
      </c>
      <c r="C27" s="3" t="s">
        <v>11</v>
      </c>
      <c r="D27" s="97" t="s">
        <v>24</v>
      </c>
      <c r="E27" s="29" t="s">
        <v>142</v>
      </c>
      <c r="F27" s="28">
        <v>2</v>
      </c>
    </row>
    <row r="28" spans="1:6" ht="18.75" customHeight="1" x14ac:dyDescent="0.35">
      <c r="A28" s="10">
        <v>26</v>
      </c>
      <c r="B28" s="11" t="s">
        <v>171</v>
      </c>
      <c r="C28" s="12" t="s">
        <v>11</v>
      </c>
      <c r="D28" s="97" t="s">
        <v>24</v>
      </c>
      <c r="E28" s="31" t="s">
        <v>145</v>
      </c>
      <c r="F28" s="30">
        <v>1</v>
      </c>
    </row>
    <row r="29" spans="1:6" ht="18.75" customHeight="1" x14ac:dyDescent="0.35">
      <c r="A29" s="1">
        <v>27</v>
      </c>
      <c r="B29" s="2" t="s">
        <v>172</v>
      </c>
      <c r="C29" s="3" t="s">
        <v>11</v>
      </c>
      <c r="D29" s="97" t="s">
        <v>24</v>
      </c>
      <c r="E29" s="33" t="s">
        <v>152</v>
      </c>
      <c r="F29" s="28">
        <v>0.6</v>
      </c>
    </row>
    <row r="30" spans="1:6" ht="18.75" customHeight="1" x14ac:dyDescent="0.35">
      <c r="A30" s="10">
        <v>28</v>
      </c>
      <c r="B30" s="11" t="s">
        <v>173</v>
      </c>
      <c r="C30" s="12" t="s">
        <v>11</v>
      </c>
      <c r="D30" s="29" t="s">
        <v>28</v>
      </c>
      <c r="E30" s="34" t="s">
        <v>165</v>
      </c>
      <c r="F30" s="30">
        <v>7</v>
      </c>
    </row>
    <row r="31" spans="1:6" ht="18.75" customHeight="1" x14ac:dyDescent="0.35">
      <c r="A31" s="1">
        <v>29</v>
      </c>
      <c r="B31" s="2" t="s">
        <v>174</v>
      </c>
      <c r="C31" s="3" t="s">
        <v>75</v>
      </c>
      <c r="D31" s="29" t="s">
        <v>28</v>
      </c>
      <c r="E31" s="34" t="s">
        <v>165</v>
      </c>
      <c r="F31" s="28">
        <v>2.5</v>
      </c>
    </row>
    <row r="32" spans="1:6" ht="18.75" customHeight="1" x14ac:dyDescent="0.35">
      <c r="A32" s="10">
        <v>30</v>
      </c>
      <c r="B32" s="11" t="s">
        <v>175</v>
      </c>
      <c r="C32" s="12" t="s">
        <v>11</v>
      </c>
      <c r="D32" s="29" t="s">
        <v>28</v>
      </c>
      <c r="E32" s="34" t="s">
        <v>165</v>
      </c>
      <c r="F32" s="30">
        <v>2</v>
      </c>
    </row>
    <row r="33" spans="1:6" ht="18.75" customHeight="1" x14ac:dyDescent="0.35">
      <c r="A33" s="1">
        <v>31</v>
      </c>
      <c r="B33" s="2" t="s">
        <v>176</v>
      </c>
      <c r="C33" s="3" t="s">
        <v>11</v>
      </c>
      <c r="D33" s="29" t="s">
        <v>28</v>
      </c>
      <c r="E33" s="34" t="s">
        <v>165</v>
      </c>
      <c r="F33" s="28">
        <v>0.8</v>
      </c>
    </row>
    <row r="35" spans="1:6" ht="30" customHeight="1" x14ac:dyDescent="0.35">
      <c r="A35" s="71" t="s">
        <v>177</v>
      </c>
      <c r="B35" s="71"/>
      <c r="C35" s="71"/>
      <c r="D35" s="71"/>
      <c r="E35" s="71"/>
      <c r="F35" s="71"/>
    </row>
    <row r="36" spans="1:6" ht="27.75" customHeight="1" x14ac:dyDescent="0.35">
      <c r="A36" s="63" t="s">
        <v>1</v>
      </c>
      <c r="B36" s="63" t="s">
        <v>2</v>
      </c>
      <c r="C36" s="63" t="s">
        <v>3</v>
      </c>
      <c r="D36" s="63" t="s">
        <v>4</v>
      </c>
      <c r="E36" s="63" t="s">
        <v>178</v>
      </c>
      <c r="F36" s="63" t="s">
        <v>138</v>
      </c>
    </row>
    <row r="37" spans="1:6" ht="18.75" customHeight="1" x14ac:dyDescent="0.35">
      <c r="A37" s="1">
        <v>1</v>
      </c>
      <c r="B37" s="2" t="s">
        <v>179</v>
      </c>
      <c r="C37" s="3" t="s">
        <v>15</v>
      </c>
      <c r="D37" s="96" t="s">
        <v>22</v>
      </c>
      <c r="E37" s="35" t="s">
        <v>180</v>
      </c>
      <c r="F37" s="36">
        <v>14</v>
      </c>
    </row>
    <row r="38" spans="1:6" ht="18.75" customHeight="1" x14ac:dyDescent="0.35">
      <c r="A38" s="10">
        <v>2</v>
      </c>
      <c r="B38" s="11" t="s">
        <v>181</v>
      </c>
      <c r="C38" s="12" t="s">
        <v>75</v>
      </c>
      <c r="D38" s="98" t="s">
        <v>16</v>
      </c>
      <c r="E38" s="35" t="s">
        <v>180</v>
      </c>
      <c r="F38" s="37">
        <v>6.44</v>
      </c>
    </row>
    <row r="39" spans="1:6" ht="18.75" customHeight="1" x14ac:dyDescent="0.35">
      <c r="A39" s="1">
        <v>3</v>
      </c>
      <c r="B39" s="2" t="s">
        <v>182</v>
      </c>
      <c r="C39" s="3" t="s">
        <v>43</v>
      </c>
      <c r="D39" s="99" t="s">
        <v>12</v>
      </c>
      <c r="E39" s="35" t="s">
        <v>180</v>
      </c>
      <c r="F39" s="36">
        <v>4.8</v>
      </c>
    </row>
    <row r="40" spans="1:6" ht="18.75" customHeight="1" x14ac:dyDescent="0.35">
      <c r="A40" s="10">
        <v>4</v>
      </c>
      <c r="B40" s="11" t="s">
        <v>183</v>
      </c>
      <c r="C40" s="12" t="s">
        <v>15</v>
      </c>
      <c r="D40" s="97" t="s">
        <v>24</v>
      </c>
      <c r="E40" s="35" t="s">
        <v>180</v>
      </c>
      <c r="F40" s="37">
        <v>5</v>
      </c>
    </row>
    <row r="41" spans="1:6" ht="18.75" customHeight="1" x14ac:dyDescent="0.35">
      <c r="A41" s="1">
        <v>5</v>
      </c>
      <c r="B41" s="2" t="s">
        <v>184</v>
      </c>
      <c r="C41" s="3" t="s">
        <v>32</v>
      </c>
      <c r="D41" s="100" t="s">
        <v>26</v>
      </c>
      <c r="E41" s="35" t="s">
        <v>180</v>
      </c>
      <c r="F41" s="36">
        <v>3.5</v>
      </c>
    </row>
  </sheetData>
  <mergeCells count="2">
    <mergeCell ref="A1:F1"/>
    <mergeCell ref="A35:F35"/>
  </mergeCells>
  <pageMargins left="0.75" right="0.75" top="1" bottom="1" header="0.511811023622047" footer="0.511811023622047"/>
  <pageSetup paperSize="9" orientation="portrait" horizontalDpi="300" verticalDpi="30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H11"/>
  <sheetViews>
    <sheetView zoomScale="67" zoomScaleNormal="100" workbookViewId="0">
      <selection activeCell="L7" sqref="L7"/>
    </sheetView>
  </sheetViews>
  <sheetFormatPr defaultColWidth="8.6328125" defaultRowHeight="14.5" x14ac:dyDescent="0.35"/>
  <cols>
    <col min="1" max="1" width="30" customWidth="1"/>
    <col min="2" max="3" width="16" customWidth="1"/>
    <col min="4" max="5" width="18" customWidth="1"/>
    <col min="6" max="6" width="14" customWidth="1"/>
    <col min="7" max="7" width="16" customWidth="1"/>
    <col min="8" max="8" width="12" customWidth="1"/>
  </cols>
  <sheetData>
    <row r="1" spans="1:8" ht="37.5" customHeight="1" x14ac:dyDescent="0.35">
      <c r="A1" s="66" t="s">
        <v>185</v>
      </c>
      <c r="B1" s="66"/>
      <c r="C1" s="66"/>
      <c r="D1" s="66"/>
      <c r="E1" s="66"/>
      <c r="F1" s="66"/>
      <c r="G1" s="66"/>
      <c r="H1" s="66"/>
    </row>
    <row r="2" spans="1:8" ht="30" customHeight="1" x14ac:dyDescent="0.35">
      <c r="A2" s="61" t="s">
        <v>4</v>
      </c>
      <c r="B2" s="61" t="s">
        <v>186</v>
      </c>
      <c r="C2" s="61" t="s">
        <v>187</v>
      </c>
      <c r="D2" s="61" t="s">
        <v>188</v>
      </c>
      <c r="E2" s="61" t="s">
        <v>189</v>
      </c>
      <c r="F2" s="61" t="s">
        <v>190</v>
      </c>
      <c r="G2" s="61" t="s">
        <v>191</v>
      </c>
      <c r="H2" s="61" t="s">
        <v>192</v>
      </c>
    </row>
    <row r="3" spans="1:8" ht="21.75" customHeight="1" x14ac:dyDescent="0.35">
      <c r="A3" s="23" t="s">
        <v>24</v>
      </c>
      <c r="B3" s="5">
        <v>45</v>
      </c>
      <c r="C3" s="5">
        <v>20.100000000000001</v>
      </c>
      <c r="D3" s="5">
        <v>8.6</v>
      </c>
      <c r="E3" s="5">
        <v>5</v>
      </c>
      <c r="F3" s="6">
        <f t="shared" ref="F3:F10" si="0">C3+D3+E3</f>
        <v>33.700000000000003</v>
      </c>
      <c r="G3" s="38">
        <f t="shared" ref="G3:G10" si="1">B3-F3</f>
        <v>11.299999999999997</v>
      </c>
      <c r="H3" s="1">
        <v>19</v>
      </c>
    </row>
    <row r="4" spans="1:8" ht="21.75" customHeight="1" x14ac:dyDescent="0.35">
      <c r="A4" s="4" t="s">
        <v>12</v>
      </c>
      <c r="B4" s="14">
        <v>45</v>
      </c>
      <c r="C4" s="14">
        <v>32.450000000000003</v>
      </c>
      <c r="D4" s="14">
        <v>7.8</v>
      </c>
      <c r="E4" s="14">
        <v>4.8</v>
      </c>
      <c r="F4" s="15">
        <f t="shared" si="0"/>
        <v>45.05</v>
      </c>
      <c r="G4" s="39">
        <f t="shared" si="1"/>
        <v>-4.9999999999997158E-2</v>
      </c>
      <c r="H4" s="10">
        <v>17</v>
      </c>
    </row>
    <row r="5" spans="1:8" ht="21.75" customHeight="1" x14ac:dyDescent="0.35">
      <c r="A5" s="13" t="s">
        <v>16</v>
      </c>
      <c r="B5" s="5">
        <v>45</v>
      </c>
      <c r="C5" s="5">
        <v>32.1</v>
      </c>
      <c r="D5" s="5">
        <v>11.8</v>
      </c>
      <c r="E5" s="5">
        <v>6.44</v>
      </c>
      <c r="F5" s="6">
        <f t="shared" si="0"/>
        <v>50.34</v>
      </c>
      <c r="G5" s="38">
        <f t="shared" si="1"/>
        <v>-5.3400000000000034</v>
      </c>
      <c r="H5" s="1">
        <v>18</v>
      </c>
    </row>
    <row r="6" spans="1:8" ht="21.75" customHeight="1" x14ac:dyDescent="0.35">
      <c r="A6" s="24" t="s">
        <v>26</v>
      </c>
      <c r="B6" s="14">
        <v>45</v>
      </c>
      <c r="C6" s="14">
        <v>28.65</v>
      </c>
      <c r="D6" s="14">
        <v>10.3</v>
      </c>
      <c r="E6" s="14">
        <v>3.5</v>
      </c>
      <c r="F6" s="15">
        <f t="shared" si="0"/>
        <v>42.45</v>
      </c>
      <c r="G6" s="39">
        <f t="shared" si="1"/>
        <v>2.5499999999999972</v>
      </c>
      <c r="H6" s="10">
        <v>18</v>
      </c>
    </row>
    <row r="7" spans="1:8" ht="21.75" customHeight="1" x14ac:dyDescent="0.35">
      <c r="A7" s="26" t="s">
        <v>36</v>
      </c>
      <c r="B7" s="5">
        <v>45</v>
      </c>
      <c r="C7" s="5">
        <v>22.425000000000001</v>
      </c>
      <c r="D7" s="5">
        <v>9.6</v>
      </c>
      <c r="E7" s="5">
        <v>0</v>
      </c>
      <c r="F7" s="6">
        <f t="shared" si="0"/>
        <v>32.024999999999999</v>
      </c>
      <c r="G7" s="38">
        <f t="shared" si="1"/>
        <v>12.975000000000001</v>
      </c>
      <c r="H7" s="1">
        <v>15</v>
      </c>
    </row>
    <row r="8" spans="1:8" ht="21.75" customHeight="1" x14ac:dyDescent="0.35">
      <c r="A8" s="19" t="s">
        <v>20</v>
      </c>
      <c r="B8" s="14">
        <v>45</v>
      </c>
      <c r="C8" s="14">
        <v>31.425000000000001</v>
      </c>
      <c r="D8" s="14">
        <v>9.1</v>
      </c>
      <c r="E8" s="14">
        <v>0</v>
      </c>
      <c r="F8" s="15">
        <f t="shared" si="0"/>
        <v>40.524999999999999</v>
      </c>
      <c r="G8" s="39">
        <f t="shared" si="1"/>
        <v>4.4750000000000014</v>
      </c>
      <c r="H8" s="10">
        <v>20</v>
      </c>
    </row>
    <row r="9" spans="1:8" ht="21.75" customHeight="1" x14ac:dyDescent="0.35">
      <c r="A9" s="25" t="s">
        <v>28</v>
      </c>
      <c r="B9" s="5">
        <v>45</v>
      </c>
      <c r="C9" s="5">
        <v>33.125</v>
      </c>
      <c r="D9" s="5">
        <v>12.3</v>
      </c>
      <c r="E9" s="5">
        <v>0</v>
      </c>
      <c r="F9" s="6">
        <f t="shared" si="0"/>
        <v>45.424999999999997</v>
      </c>
      <c r="G9" s="38">
        <f t="shared" si="1"/>
        <v>-0.42499999999999716</v>
      </c>
      <c r="H9" s="1">
        <v>17</v>
      </c>
    </row>
    <row r="10" spans="1:8" ht="21.75" customHeight="1" x14ac:dyDescent="0.35">
      <c r="A10" s="21" t="s">
        <v>22</v>
      </c>
      <c r="B10" s="14">
        <v>45</v>
      </c>
      <c r="C10" s="14">
        <v>21.024999999999999</v>
      </c>
      <c r="D10" s="14">
        <v>13.16</v>
      </c>
      <c r="E10" s="14">
        <v>14</v>
      </c>
      <c r="F10" s="15">
        <f t="shared" si="0"/>
        <v>48.185000000000002</v>
      </c>
      <c r="G10" s="39">
        <f t="shared" si="1"/>
        <v>-3.1850000000000023</v>
      </c>
      <c r="H10" s="10">
        <v>16</v>
      </c>
    </row>
    <row r="11" spans="1:8" ht="24.75" customHeight="1" x14ac:dyDescent="0.35">
      <c r="A11" s="64" t="s">
        <v>193</v>
      </c>
      <c r="B11" s="65">
        <f>SUM(B3:B10)</f>
        <v>360</v>
      </c>
      <c r="C11" s="65">
        <f>SUM(C3:C10)</f>
        <v>221.30000000000004</v>
      </c>
      <c r="D11" s="65">
        <f>SUM(D3:D10)</f>
        <v>82.66</v>
      </c>
      <c r="E11" s="65">
        <f>SUM(E3:E10)</f>
        <v>33.74</v>
      </c>
      <c r="F11" s="65">
        <f>SUM(F3:F10)</f>
        <v>337.70000000000005</v>
      </c>
      <c r="G11" s="64" t="s">
        <v>178</v>
      </c>
      <c r="H11" s="64">
        <f>SUM(H3:H10)</f>
        <v>140</v>
      </c>
    </row>
  </sheetData>
  <mergeCells count="1">
    <mergeCell ref="A1:H1"/>
  </mergeCells>
  <pageMargins left="0.75" right="0.75" top="1" bottom="1" header="0.511811023622047" footer="0.511811023622047"/>
  <pageSetup paperSize="9" orientation="portrait" horizontalDpi="300" verticalDpi="300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F53"/>
  <sheetViews>
    <sheetView zoomScale="76" zoomScaleNormal="100" workbookViewId="0">
      <selection activeCell="R54" sqref="R54"/>
    </sheetView>
  </sheetViews>
  <sheetFormatPr defaultColWidth="8.6328125" defaultRowHeight="14.5" x14ac:dyDescent="0.35"/>
  <cols>
    <col min="1" max="1" width="8" customWidth="1"/>
    <col min="2" max="2" width="26" customWidth="1"/>
    <col min="3" max="3" width="16" customWidth="1"/>
    <col min="4" max="4" width="30" customWidth="1"/>
    <col min="5" max="5" width="16" customWidth="1"/>
    <col min="6" max="6" width="12" customWidth="1"/>
  </cols>
  <sheetData>
    <row r="1" spans="1:6" ht="37.5" customHeight="1" x14ac:dyDescent="0.35">
      <c r="A1" s="66" t="s">
        <v>194</v>
      </c>
      <c r="B1" s="66"/>
      <c r="C1" s="66"/>
      <c r="D1" s="66"/>
      <c r="E1" s="66"/>
      <c r="F1" s="66"/>
    </row>
    <row r="3" spans="1:6" ht="27.75" customHeight="1" x14ac:dyDescent="0.35">
      <c r="A3" s="67" t="s">
        <v>195</v>
      </c>
      <c r="B3" s="67"/>
      <c r="C3" s="67"/>
      <c r="D3" s="67"/>
      <c r="E3" s="67"/>
      <c r="F3" s="67"/>
    </row>
    <row r="4" spans="1:6" ht="27.75" customHeight="1" x14ac:dyDescent="0.35">
      <c r="A4" s="40" t="s">
        <v>196</v>
      </c>
      <c r="B4" s="40" t="s">
        <v>2</v>
      </c>
      <c r="C4" s="40" t="s">
        <v>3</v>
      </c>
      <c r="D4" s="40" t="s">
        <v>4</v>
      </c>
      <c r="E4" s="40" t="s">
        <v>6</v>
      </c>
      <c r="F4" s="40" t="s">
        <v>9</v>
      </c>
    </row>
    <row r="5" spans="1:6" ht="19.5" customHeight="1" x14ac:dyDescent="0.35">
      <c r="A5" s="87">
        <v>1</v>
      </c>
      <c r="B5" s="88" t="s">
        <v>210</v>
      </c>
      <c r="C5" s="89" t="s">
        <v>15</v>
      </c>
      <c r="D5" s="94" t="s">
        <v>22</v>
      </c>
      <c r="E5" s="90">
        <v>14</v>
      </c>
      <c r="F5" s="91" t="s">
        <v>17</v>
      </c>
    </row>
    <row r="6" spans="1:6" ht="19.5" customHeight="1" x14ac:dyDescent="0.35">
      <c r="A6" s="72">
        <v>2</v>
      </c>
      <c r="B6" s="73" t="s">
        <v>211</v>
      </c>
      <c r="C6" s="74" t="s">
        <v>11</v>
      </c>
      <c r="D6" s="95" t="s">
        <v>209</v>
      </c>
      <c r="E6" s="75">
        <v>12.6</v>
      </c>
      <c r="F6" s="76" t="s">
        <v>13</v>
      </c>
    </row>
    <row r="7" spans="1:6" ht="19.5" customHeight="1" x14ac:dyDescent="0.35">
      <c r="A7" s="77">
        <v>3</v>
      </c>
      <c r="B7" s="78" t="s">
        <v>27</v>
      </c>
      <c r="C7" s="79" t="s">
        <v>11</v>
      </c>
      <c r="D7" s="93" t="s">
        <v>28</v>
      </c>
      <c r="E7" s="80">
        <v>8.65</v>
      </c>
      <c r="F7" s="81" t="s">
        <v>13</v>
      </c>
    </row>
    <row r="8" spans="1:6" ht="19.5" customHeight="1" x14ac:dyDescent="0.35">
      <c r="A8" s="82">
        <v>4</v>
      </c>
      <c r="B8" s="83" t="s">
        <v>10</v>
      </c>
      <c r="C8" s="84" t="s">
        <v>11</v>
      </c>
      <c r="D8" s="4" t="s">
        <v>12</v>
      </c>
      <c r="E8" s="85">
        <v>8.5</v>
      </c>
      <c r="F8" s="86" t="s">
        <v>13</v>
      </c>
    </row>
    <row r="9" spans="1:6" ht="19.5" customHeight="1" x14ac:dyDescent="0.35">
      <c r="A9" s="10">
        <v>5</v>
      </c>
      <c r="B9" s="11" t="s">
        <v>42</v>
      </c>
      <c r="C9" s="12" t="s">
        <v>43</v>
      </c>
      <c r="D9" s="25" t="s">
        <v>28</v>
      </c>
      <c r="E9" s="15">
        <v>8.0500000000000007</v>
      </c>
      <c r="F9" s="18" t="s">
        <v>17</v>
      </c>
    </row>
    <row r="10" spans="1:6" ht="19.5" customHeight="1" x14ac:dyDescent="0.35">
      <c r="A10" s="1">
        <v>6</v>
      </c>
      <c r="B10" s="2" t="s">
        <v>41</v>
      </c>
      <c r="C10" s="3" t="s">
        <v>11</v>
      </c>
      <c r="D10" s="24" t="s">
        <v>26</v>
      </c>
      <c r="E10" s="6">
        <v>7.95</v>
      </c>
      <c r="F10" s="9" t="s">
        <v>13</v>
      </c>
    </row>
    <row r="11" spans="1:6" ht="19.5" customHeight="1" x14ac:dyDescent="0.35">
      <c r="A11" s="10">
        <v>7</v>
      </c>
      <c r="B11" s="11" t="s">
        <v>14</v>
      </c>
      <c r="C11" s="12" t="s">
        <v>15</v>
      </c>
      <c r="D11" s="13" t="s">
        <v>16</v>
      </c>
      <c r="E11" s="15">
        <v>7.9</v>
      </c>
      <c r="F11" s="18" t="s">
        <v>17</v>
      </c>
    </row>
    <row r="12" spans="1:6" ht="19.5" customHeight="1" x14ac:dyDescent="0.35">
      <c r="A12" s="1">
        <v>8</v>
      </c>
      <c r="B12" s="2" t="s">
        <v>25</v>
      </c>
      <c r="C12" s="3" t="s">
        <v>11</v>
      </c>
      <c r="D12" s="24" t="s">
        <v>26</v>
      </c>
      <c r="E12" s="6">
        <v>7.6</v>
      </c>
      <c r="F12" s="9" t="s">
        <v>13</v>
      </c>
    </row>
    <row r="13" spans="1:6" ht="19.5" customHeight="1" x14ac:dyDescent="0.35">
      <c r="A13" s="10">
        <v>9</v>
      </c>
      <c r="B13" s="11" t="s">
        <v>56</v>
      </c>
      <c r="C13" s="12" t="s">
        <v>43</v>
      </c>
      <c r="D13" s="4" t="s">
        <v>12</v>
      </c>
      <c r="E13" s="15">
        <v>7</v>
      </c>
      <c r="F13" s="18" t="s">
        <v>17</v>
      </c>
    </row>
    <row r="14" spans="1:6" ht="19.5" customHeight="1" x14ac:dyDescent="0.35">
      <c r="A14" s="1">
        <v>10</v>
      </c>
      <c r="B14" s="2" t="s">
        <v>212</v>
      </c>
      <c r="C14" s="3" t="s">
        <v>11</v>
      </c>
      <c r="D14" s="92" t="s">
        <v>20</v>
      </c>
      <c r="E14" s="6">
        <v>7</v>
      </c>
      <c r="F14" s="9" t="s">
        <v>13</v>
      </c>
    </row>
    <row r="17" spans="1:6" ht="27.75" customHeight="1" x14ac:dyDescent="0.35">
      <c r="A17" s="68" t="s">
        <v>197</v>
      </c>
      <c r="B17" s="68"/>
      <c r="C17" s="68"/>
      <c r="D17" s="68"/>
      <c r="E17" s="68"/>
      <c r="F17" s="68"/>
    </row>
    <row r="18" spans="1:6" ht="27.75" customHeight="1" x14ac:dyDescent="0.35">
      <c r="A18" s="40" t="s">
        <v>196</v>
      </c>
      <c r="B18" s="40" t="s">
        <v>2</v>
      </c>
      <c r="C18" s="40" t="s">
        <v>4</v>
      </c>
      <c r="D18" s="40" t="s">
        <v>198</v>
      </c>
      <c r="E18" s="40" t="s">
        <v>199</v>
      </c>
      <c r="F18" s="40" t="s">
        <v>200</v>
      </c>
    </row>
    <row r="19" spans="1:6" ht="19.5" customHeight="1" x14ac:dyDescent="0.35">
      <c r="A19" s="41">
        <v>1</v>
      </c>
      <c r="B19" s="42" t="s">
        <v>51</v>
      </c>
      <c r="C19" s="19" t="s">
        <v>20</v>
      </c>
      <c r="D19" s="47">
        <v>1.1000000000000001</v>
      </c>
      <c r="E19" s="47">
        <v>6.5</v>
      </c>
      <c r="F19" s="48">
        <v>5.4</v>
      </c>
    </row>
    <row r="20" spans="1:6" ht="19.5" customHeight="1" x14ac:dyDescent="0.35">
      <c r="A20" s="43">
        <v>2</v>
      </c>
      <c r="B20" s="44" t="s">
        <v>27</v>
      </c>
      <c r="C20" s="25" t="s">
        <v>28</v>
      </c>
      <c r="D20" s="49">
        <v>4.2</v>
      </c>
      <c r="E20" s="49">
        <v>8.65</v>
      </c>
      <c r="F20" s="50">
        <v>4.45</v>
      </c>
    </row>
    <row r="21" spans="1:6" ht="19.5" customHeight="1" x14ac:dyDescent="0.35">
      <c r="A21" s="45">
        <v>3</v>
      </c>
      <c r="B21" s="46" t="s">
        <v>10</v>
      </c>
      <c r="C21" s="4" t="s">
        <v>12</v>
      </c>
      <c r="D21" s="51">
        <v>4.2</v>
      </c>
      <c r="E21" s="51">
        <v>8.5</v>
      </c>
      <c r="F21" s="52">
        <v>4.3</v>
      </c>
    </row>
    <row r="22" spans="1:6" ht="19.5" customHeight="1" x14ac:dyDescent="0.35">
      <c r="A22" s="10">
        <v>4</v>
      </c>
      <c r="B22" s="11" t="s">
        <v>42</v>
      </c>
      <c r="C22" s="25" t="s">
        <v>28</v>
      </c>
      <c r="D22" s="14">
        <v>4.2</v>
      </c>
      <c r="E22" s="14">
        <v>8.0500000000000007</v>
      </c>
      <c r="F22" s="39">
        <v>3.85</v>
      </c>
    </row>
    <row r="23" spans="1:6" ht="19.5" customHeight="1" x14ac:dyDescent="0.35">
      <c r="A23" s="1">
        <v>5</v>
      </c>
      <c r="B23" s="2" t="s">
        <v>41</v>
      </c>
      <c r="C23" s="24" t="s">
        <v>26</v>
      </c>
      <c r="D23" s="5">
        <v>4.2</v>
      </c>
      <c r="E23" s="5">
        <v>7.95</v>
      </c>
      <c r="F23" s="38">
        <v>3.75</v>
      </c>
    </row>
    <row r="24" spans="1:6" ht="19.5" customHeight="1" x14ac:dyDescent="0.35">
      <c r="A24" s="10">
        <v>6</v>
      </c>
      <c r="B24" s="11" t="s">
        <v>14</v>
      </c>
      <c r="C24" s="13" t="s">
        <v>16</v>
      </c>
      <c r="D24" s="14">
        <v>4.2</v>
      </c>
      <c r="E24" s="14">
        <v>7.9</v>
      </c>
      <c r="F24" s="39">
        <v>3.7</v>
      </c>
    </row>
    <row r="25" spans="1:6" ht="19.5" customHeight="1" x14ac:dyDescent="0.35">
      <c r="A25" s="1">
        <v>7</v>
      </c>
      <c r="B25" s="2" t="s">
        <v>25</v>
      </c>
      <c r="C25" s="24" t="s">
        <v>26</v>
      </c>
      <c r="D25" s="5">
        <v>4.2</v>
      </c>
      <c r="E25" s="5">
        <v>7.6</v>
      </c>
      <c r="F25" s="38">
        <v>3.4</v>
      </c>
    </row>
    <row r="26" spans="1:6" ht="19.5" customHeight="1" x14ac:dyDescent="0.35">
      <c r="A26" s="10">
        <v>8</v>
      </c>
      <c r="B26" s="11" t="s">
        <v>56</v>
      </c>
      <c r="C26" s="4" t="s">
        <v>12</v>
      </c>
      <c r="D26" s="14">
        <v>4.2</v>
      </c>
      <c r="E26" s="14">
        <v>7</v>
      </c>
      <c r="F26" s="39">
        <v>2.8</v>
      </c>
    </row>
    <row r="27" spans="1:6" ht="19.5" customHeight="1" x14ac:dyDescent="0.35">
      <c r="A27" s="1">
        <v>9</v>
      </c>
      <c r="B27" s="2" t="s">
        <v>29</v>
      </c>
      <c r="C27" s="13" t="s">
        <v>16</v>
      </c>
      <c r="D27" s="5">
        <v>1.1000000000000001</v>
      </c>
      <c r="E27" s="5">
        <v>3.65</v>
      </c>
      <c r="F27" s="38">
        <v>2.5499999999999998</v>
      </c>
    </row>
    <row r="28" spans="1:6" ht="19.5" customHeight="1" x14ac:dyDescent="0.35">
      <c r="A28" s="10">
        <v>10</v>
      </c>
      <c r="B28" s="11" t="s">
        <v>47</v>
      </c>
      <c r="C28" s="24" t="s">
        <v>26</v>
      </c>
      <c r="D28" s="14">
        <v>0.6</v>
      </c>
      <c r="E28" s="14">
        <v>2.7</v>
      </c>
      <c r="F28" s="39">
        <v>2.1</v>
      </c>
    </row>
    <row r="31" spans="1:6" ht="27.75" customHeight="1" x14ac:dyDescent="0.35">
      <c r="A31" s="68" t="s">
        <v>201</v>
      </c>
      <c r="B31" s="68"/>
      <c r="C31" s="68"/>
      <c r="D31" s="68"/>
      <c r="E31" s="68"/>
      <c r="F31" s="68"/>
    </row>
    <row r="32" spans="1:6" ht="27.75" customHeight="1" x14ac:dyDescent="0.35">
      <c r="A32" s="40" t="s">
        <v>1</v>
      </c>
      <c r="B32" s="40" t="s">
        <v>3</v>
      </c>
      <c r="C32" s="40" t="s">
        <v>202</v>
      </c>
      <c r="D32" s="40" t="s">
        <v>203</v>
      </c>
      <c r="E32" s="40" t="s">
        <v>204</v>
      </c>
      <c r="F32" s="40" t="s">
        <v>205</v>
      </c>
    </row>
    <row r="33" spans="1:6" ht="18.75" customHeight="1" x14ac:dyDescent="0.35">
      <c r="A33" s="1">
        <v>1</v>
      </c>
      <c r="B33" s="2" t="s">
        <v>11</v>
      </c>
      <c r="C33" s="1">
        <v>63</v>
      </c>
      <c r="D33" s="53">
        <v>124.65</v>
      </c>
      <c r="E33" s="53">
        <f t="shared" ref="E33:E44" si="0">D33/C33</f>
        <v>1.9785714285714286</v>
      </c>
      <c r="F33" s="54">
        <f t="shared" ref="F33:F44" si="1">D33/221.3</f>
        <v>0.56326253953908723</v>
      </c>
    </row>
    <row r="34" spans="1:6" ht="18.75" customHeight="1" x14ac:dyDescent="0.35">
      <c r="A34" s="10">
        <v>2</v>
      </c>
      <c r="B34" s="11" t="s">
        <v>15</v>
      </c>
      <c r="C34" s="10">
        <v>10</v>
      </c>
      <c r="D34" s="55">
        <v>33.450000000000003</v>
      </c>
      <c r="E34" s="55">
        <f t="shared" si="0"/>
        <v>3.3450000000000002</v>
      </c>
      <c r="F34" s="56">
        <f t="shared" si="1"/>
        <v>0.15115228197017624</v>
      </c>
    </row>
    <row r="35" spans="1:6" ht="18.75" customHeight="1" x14ac:dyDescent="0.35">
      <c r="A35" s="1">
        <v>3</v>
      </c>
      <c r="B35" s="2" t="s">
        <v>19</v>
      </c>
      <c r="C35" s="1">
        <v>5</v>
      </c>
      <c r="D35" s="53">
        <v>10.050000000000001</v>
      </c>
      <c r="E35" s="53">
        <f t="shared" si="0"/>
        <v>2.0100000000000002</v>
      </c>
      <c r="F35" s="54">
        <f t="shared" si="1"/>
        <v>4.5413465883416181E-2</v>
      </c>
    </row>
    <row r="36" spans="1:6" ht="18.75" customHeight="1" x14ac:dyDescent="0.35">
      <c r="A36" s="10">
        <v>4</v>
      </c>
      <c r="B36" s="11" t="s">
        <v>43</v>
      </c>
      <c r="C36" s="10">
        <v>5</v>
      </c>
      <c r="D36" s="55">
        <v>20.45</v>
      </c>
      <c r="E36" s="55">
        <f t="shared" si="0"/>
        <v>4.09</v>
      </c>
      <c r="F36" s="56">
        <f t="shared" si="1"/>
        <v>9.2408495255309531E-2</v>
      </c>
    </row>
    <row r="37" spans="1:6" ht="18.75" customHeight="1" x14ac:dyDescent="0.35">
      <c r="A37" s="1">
        <v>5</v>
      </c>
      <c r="B37" s="2" t="s">
        <v>75</v>
      </c>
      <c r="C37" s="1">
        <v>5</v>
      </c>
      <c r="D37" s="53">
        <v>10</v>
      </c>
      <c r="E37" s="53">
        <f t="shared" si="0"/>
        <v>2</v>
      </c>
      <c r="F37" s="54">
        <f t="shared" si="1"/>
        <v>4.5187528242205149E-2</v>
      </c>
    </row>
    <row r="38" spans="1:6" ht="18.75" customHeight="1" x14ac:dyDescent="0.35">
      <c r="A38" s="10">
        <v>6</v>
      </c>
      <c r="B38" s="11" t="s">
        <v>32</v>
      </c>
      <c r="C38" s="10">
        <v>3</v>
      </c>
      <c r="D38" s="55">
        <v>4.2</v>
      </c>
      <c r="E38" s="55">
        <f t="shared" si="0"/>
        <v>1.4000000000000001</v>
      </c>
      <c r="F38" s="56">
        <f t="shared" si="1"/>
        <v>1.8978761861726163E-2</v>
      </c>
    </row>
    <row r="39" spans="1:6" ht="18.75" customHeight="1" x14ac:dyDescent="0.35">
      <c r="A39" s="1">
        <v>7</v>
      </c>
      <c r="B39" s="2" t="s">
        <v>49</v>
      </c>
      <c r="C39" s="1">
        <v>3</v>
      </c>
      <c r="D39" s="53">
        <v>8.0500000000000007</v>
      </c>
      <c r="E39" s="53">
        <f t="shared" si="0"/>
        <v>2.6833333333333336</v>
      </c>
      <c r="F39" s="54">
        <f t="shared" si="1"/>
        <v>3.6375960234975149E-2</v>
      </c>
    </row>
    <row r="40" spans="1:6" ht="18.75" customHeight="1" x14ac:dyDescent="0.35">
      <c r="A40" s="10">
        <v>8</v>
      </c>
      <c r="B40" s="11" t="s">
        <v>72</v>
      </c>
      <c r="C40" s="10">
        <v>3</v>
      </c>
      <c r="D40" s="55">
        <v>3.05</v>
      </c>
      <c r="E40" s="55">
        <f t="shared" si="0"/>
        <v>1.0166666666666666</v>
      </c>
      <c r="F40" s="56">
        <f t="shared" si="1"/>
        <v>1.3782196113872569E-2</v>
      </c>
    </row>
    <row r="41" spans="1:6" ht="18.75" customHeight="1" x14ac:dyDescent="0.35">
      <c r="A41" s="1">
        <v>9</v>
      </c>
      <c r="B41" s="2" t="s">
        <v>77</v>
      </c>
      <c r="C41" s="1">
        <v>3</v>
      </c>
      <c r="D41" s="53">
        <v>4.2</v>
      </c>
      <c r="E41" s="53">
        <f t="shared" si="0"/>
        <v>1.4000000000000001</v>
      </c>
      <c r="F41" s="54">
        <f t="shared" si="1"/>
        <v>1.8978761861726163E-2</v>
      </c>
    </row>
    <row r="42" spans="1:6" ht="18.75" customHeight="1" x14ac:dyDescent="0.35">
      <c r="A42" s="10">
        <v>10</v>
      </c>
      <c r="B42" s="11" t="s">
        <v>82</v>
      </c>
      <c r="C42" s="10">
        <v>2</v>
      </c>
      <c r="D42" s="55">
        <v>2</v>
      </c>
      <c r="E42" s="55">
        <f t="shared" si="0"/>
        <v>1</v>
      </c>
      <c r="F42" s="56">
        <f t="shared" si="1"/>
        <v>9.0375056484410295E-3</v>
      </c>
    </row>
    <row r="43" spans="1:6" ht="18.75" customHeight="1" x14ac:dyDescent="0.35">
      <c r="A43" s="1">
        <v>11</v>
      </c>
      <c r="B43" s="2" t="s">
        <v>64</v>
      </c>
      <c r="C43" s="1">
        <v>1</v>
      </c>
      <c r="D43" s="53">
        <v>0.6</v>
      </c>
      <c r="E43" s="53">
        <f t="shared" si="0"/>
        <v>0.6</v>
      </c>
      <c r="F43" s="54">
        <f t="shared" si="1"/>
        <v>2.7112516945323089E-3</v>
      </c>
    </row>
    <row r="44" spans="1:6" ht="18.75" customHeight="1" x14ac:dyDescent="0.35">
      <c r="A44" s="10">
        <v>12</v>
      </c>
      <c r="B44" s="11" t="s">
        <v>120</v>
      </c>
      <c r="C44" s="10">
        <v>1</v>
      </c>
      <c r="D44" s="55">
        <v>0.6</v>
      </c>
      <c r="E44" s="55">
        <f t="shared" si="0"/>
        <v>0.6</v>
      </c>
      <c r="F44" s="56">
        <f t="shared" si="1"/>
        <v>2.7112516945323089E-3</v>
      </c>
    </row>
    <row r="50" spans="1:6" ht="27.75" customHeight="1" x14ac:dyDescent="0.35">
      <c r="A50" s="68" t="s">
        <v>206</v>
      </c>
      <c r="B50" s="68"/>
      <c r="C50" s="68"/>
      <c r="D50" s="68"/>
      <c r="E50" s="68"/>
      <c r="F50" s="68"/>
    </row>
    <row r="51" spans="1:6" ht="24.75" customHeight="1" x14ac:dyDescent="0.35">
      <c r="A51" s="40" t="s">
        <v>9</v>
      </c>
      <c r="B51" s="40" t="s">
        <v>207</v>
      </c>
      <c r="C51" s="40" t="s">
        <v>203</v>
      </c>
      <c r="D51" s="40" t="s">
        <v>208</v>
      </c>
    </row>
    <row r="52" spans="1:6" ht="21.75" customHeight="1" x14ac:dyDescent="0.35">
      <c r="A52" s="57" t="s">
        <v>13</v>
      </c>
      <c r="B52" s="57">
        <v>62</v>
      </c>
      <c r="C52" s="58">
        <v>125.85</v>
      </c>
      <c r="D52" s="58">
        <v>2.0299999999999998</v>
      </c>
      <c r="E52" s="57"/>
      <c r="F52" s="57"/>
    </row>
    <row r="53" spans="1:6" ht="21.75" customHeight="1" x14ac:dyDescent="0.35">
      <c r="A53" s="59" t="s">
        <v>17</v>
      </c>
      <c r="B53" s="59">
        <v>42</v>
      </c>
      <c r="C53" s="60">
        <v>95.45</v>
      </c>
      <c r="D53" s="60">
        <v>2.27</v>
      </c>
      <c r="E53" s="59"/>
      <c r="F53" s="59"/>
    </row>
  </sheetData>
  <mergeCells count="5">
    <mergeCell ref="A1:F1"/>
    <mergeCell ref="A3:F3"/>
    <mergeCell ref="A17:F17"/>
    <mergeCell ref="A31:F31"/>
    <mergeCell ref="A50:F50"/>
  </mergeCells>
  <pageMargins left="0.75" right="0.75" top="1" bottom="1" header="0.511811023622047" footer="0.511811023622047"/>
  <pageSetup paperSize="9" orientation="portrait" horizontalDpi="300" verticalDpi="300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Auction Data</vt:lpstr>
      <vt:lpstr>Retained &amp; Direct</vt:lpstr>
      <vt:lpstr>Team Budgets</vt:lpstr>
      <vt:lpstr>Analytics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openpyxl</dc:creator>
  <dc:description/>
  <cp:lastModifiedBy>OM E KALSOOM</cp:lastModifiedBy>
  <cp:revision>1</cp:revision>
  <dcterms:created xsi:type="dcterms:W3CDTF">2026-05-10T09:53:04Z</dcterms:created>
  <dcterms:modified xsi:type="dcterms:W3CDTF">2026-05-11T04:08:08Z</dcterms:modified>
  <dc:language>en-US</dc:language>
</cp:coreProperties>
</file>